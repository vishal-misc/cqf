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3" documentId="8_{B33D379A-D047-473F-8D57-BCDF9D284791}" xr6:coauthVersionLast="47" xr6:coauthVersionMax="47" xr10:uidLastSave="{7376C429-804D-4548-B1B5-E800D105A4F1}"/>
  <bookViews>
    <workbookView xWindow="-108" yWindow="-108" windowWidth="23256" windowHeight="13896" xr2:uid="{BFDE3F04-EADA-4D14-8ADE-23836A551B81}"/>
  </bookViews>
  <sheets>
    <sheet name="Binomial" sheetId="2" r:id="rId1"/>
  </sheets>
  <functionGroups builtInGroupCount="19"/>
  <definedNames>
    <definedName name="Bins">#REF!</definedName>
    <definedName name="BinsUsed">#REF!</definedName>
    <definedName name="Corr">#REF!</definedName>
    <definedName name="Correl">#REF!</definedName>
    <definedName name="IntPoints">#REF!</definedName>
    <definedName name="MaxLoss">#REF!</definedName>
    <definedName name="NumLoans">#REF!</definedName>
    <definedName name="PD">Binomial!$C$2</definedName>
    <definedName name="QuadraturePoints">Binomial!$C$5</definedName>
    <definedName name="Quantile">#REF!</definedName>
    <definedName name="Rho">Binomial!$C$3</definedName>
    <definedName name="Seed">#REF!</definedName>
    <definedName name="Simulations">#REF!</definedName>
    <definedName name="Size">Binomial!$C$4</definedName>
    <definedName name="TotalNotional">#REF!</definedName>
    <definedName name="TotalNotionalRec">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2" l="1"/>
  <c r="E6" i="2" a="1"/>
  <c r="X8" i="2" l="1"/>
  <c r="P8" i="2"/>
  <c r="H8" i="2"/>
  <c r="W8" i="2"/>
  <c r="O8" i="2"/>
  <c r="G8" i="2"/>
  <c r="V8" i="2"/>
  <c r="N8" i="2"/>
  <c r="F8" i="2"/>
  <c r="U8" i="2"/>
  <c r="T8" i="2"/>
  <c r="L8" i="2"/>
  <c r="S8" i="2"/>
  <c r="K8" i="2"/>
  <c r="R8" i="2"/>
  <c r="J8" i="2"/>
  <c r="E6" i="2"/>
  <c r="E8" i="2" s="1"/>
  <c r="M8" i="2"/>
  <c r="Q8" i="2"/>
  <c r="I8" i="2"/>
  <c r="F9" i="2" l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11" i="2" l="1"/>
  <c r="C11" i="2" s="1"/>
  <c r="B12" i="2" l="1"/>
  <c r="C12" i="2" s="1"/>
  <c r="B13" i="2" l="1"/>
  <c r="C13" i="2" s="1"/>
  <c r="B14" i="2" l="1"/>
  <c r="C14" i="2" s="1"/>
  <c r="E10" i="2" l="1"/>
  <c r="BA10" i="2"/>
  <c r="AS10" i="2"/>
  <c r="AK10" i="2"/>
  <c r="AC10" i="2"/>
  <c r="U10" i="2"/>
  <c r="M10" i="2"/>
  <c r="AZ10" i="2"/>
  <c r="AR10" i="2"/>
  <c r="AJ10" i="2"/>
  <c r="AB10" i="2"/>
  <c r="T10" i="2"/>
  <c r="L10" i="2"/>
  <c r="AY10" i="2"/>
  <c r="AQ10" i="2"/>
  <c r="AI10" i="2"/>
  <c r="AA10" i="2"/>
  <c r="S10" i="2"/>
  <c r="K10" i="2"/>
  <c r="AX10" i="2"/>
  <c r="AP10" i="2"/>
  <c r="AH10" i="2"/>
  <c r="Z10" i="2"/>
  <c r="R10" i="2"/>
  <c r="J10" i="2"/>
  <c r="AW10" i="2"/>
  <c r="AO10" i="2"/>
  <c r="AG10" i="2"/>
  <c r="Y10" i="2"/>
  <c r="Q10" i="2"/>
  <c r="I10" i="2"/>
  <c r="AV10" i="2"/>
  <c r="AN10" i="2"/>
  <c r="AF10" i="2"/>
  <c r="X10" i="2"/>
  <c r="P10" i="2"/>
  <c r="H10" i="2"/>
  <c r="AU10" i="2"/>
  <c r="AM10" i="2"/>
  <c r="AE10" i="2"/>
  <c r="W10" i="2"/>
  <c r="O10" i="2"/>
  <c r="G10" i="2"/>
  <c r="AK11" i="2"/>
  <c r="V10" i="2"/>
  <c r="F10" i="2"/>
  <c r="AT10" i="2"/>
  <c r="AC11" i="2"/>
  <c r="N10" i="2"/>
  <c r="BA11" i="2"/>
  <c r="U11" i="2"/>
  <c r="M11" i="2"/>
  <c r="AL10" i="2"/>
  <c r="BB10" i="2"/>
  <c r="AD10" i="2"/>
  <c r="AS11" i="2"/>
  <c r="AZ11" i="2"/>
  <c r="G11" i="2"/>
  <c r="X11" i="2"/>
  <c r="AO11" i="2"/>
  <c r="K11" i="2"/>
  <c r="AB11" i="2"/>
  <c r="AR11" i="2"/>
  <c r="R11" i="2"/>
  <c r="AM11" i="2"/>
  <c r="AL11" i="2"/>
  <c r="H11" i="2"/>
  <c r="L11" i="2"/>
  <c r="AX11" i="2"/>
  <c r="F11" i="2"/>
  <c r="O11" i="2"/>
  <c r="AF11" i="2"/>
  <c r="AW11" i="2"/>
  <c r="S11" i="2"/>
  <c r="AJ11" i="2"/>
  <c r="W11" i="2"/>
  <c r="AA11" i="2"/>
  <c r="BB11" i="2"/>
  <c r="N11" i="2"/>
  <c r="AN11" i="2"/>
  <c r="J11" i="2"/>
  <c r="AD11" i="2"/>
  <c r="I11" i="2"/>
  <c r="AU11" i="2"/>
  <c r="AT11" i="2"/>
  <c r="Y11" i="2"/>
  <c r="AG11" i="2"/>
  <c r="V11" i="2"/>
  <c r="AE11" i="2"/>
  <c r="AV11" i="2"/>
  <c r="AI11" i="2"/>
  <c r="Z11" i="2"/>
  <c r="Q11" i="2"/>
  <c r="AY11" i="2"/>
  <c r="AP11" i="2"/>
  <c r="P11" i="2"/>
  <c r="AQ11" i="2"/>
  <c r="AH11" i="2"/>
  <c r="T11" i="2"/>
  <c r="AO12" i="2"/>
  <c r="X12" i="2"/>
  <c r="G12" i="2"/>
  <c r="BA12" i="2"/>
  <c r="AR12" i="2"/>
  <c r="AA12" i="2"/>
  <c r="M12" i="2"/>
  <c r="AX12" i="2"/>
  <c r="AG12" i="2"/>
  <c r="P12" i="2"/>
  <c r="BB12" i="2"/>
  <c r="AS12" i="2"/>
  <c r="AJ12" i="2"/>
  <c r="S12" i="2"/>
  <c r="L12" i="2"/>
  <c r="R12" i="2"/>
  <c r="AV12" i="2"/>
  <c r="AE12" i="2"/>
  <c r="AY12" i="2"/>
  <c r="AP12" i="2"/>
  <c r="Y12" i="2"/>
  <c r="H12" i="2"/>
  <c r="AT12" i="2"/>
  <c r="AK12" i="2"/>
  <c r="AB12" i="2"/>
  <c r="K12" i="2"/>
  <c r="Z12" i="2"/>
  <c r="AD12" i="2"/>
  <c r="V12" i="2"/>
  <c r="AH12" i="2"/>
  <c r="Q12" i="2"/>
  <c r="AU12" i="2"/>
  <c r="AL12" i="2"/>
  <c r="AC12" i="2"/>
  <c r="T12" i="2"/>
  <c r="I12" i="2"/>
  <c r="AM12" i="2"/>
  <c r="U12" i="2"/>
  <c r="AI12" i="2"/>
  <c r="J12" i="2"/>
  <c r="AN12" i="2"/>
  <c r="W12" i="2"/>
  <c r="N12" i="2"/>
  <c r="E12" i="2"/>
  <c r="AQ12" i="2"/>
  <c r="AW12" i="2"/>
  <c r="AF12" i="2"/>
  <c r="O12" i="2"/>
  <c r="F12" i="2"/>
  <c r="AZ12" i="2"/>
  <c r="J13" i="2"/>
  <c r="AA13" i="2"/>
  <c r="AR13" i="2"/>
  <c r="BA13" i="2"/>
  <c r="G13" i="2"/>
  <c r="X13" i="2"/>
  <c r="AL13" i="2"/>
  <c r="AT13" i="2"/>
  <c r="BB13" i="2"/>
  <c r="R13" i="2"/>
  <c r="AI13" i="2"/>
  <c r="AZ13" i="2"/>
  <c r="F13" i="2"/>
  <c r="O13" i="2"/>
  <c r="AF13" i="2"/>
  <c r="AO13" i="2"/>
  <c r="AC13" i="2"/>
  <c r="K13" i="2"/>
  <c r="AB13" i="2"/>
  <c r="AG13" i="2"/>
  <c r="P13" i="2"/>
  <c r="Q13" i="2"/>
  <c r="Z13" i="2"/>
  <c r="AQ13" i="2"/>
  <c r="E13" i="2"/>
  <c r="N13" i="2"/>
  <c r="W13" i="2"/>
  <c r="AN13" i="2"/>
  <c r="T13" i="2"/>
  <c r="AW13" i="2"/>
  <c r="AK13" i="2"/>
  <c r="AJ13" i="2"/>
  <c r="I13" i="2"/>
  <c r="AH13" i="2"/>
  <c r="AY13" i="2"/>
  <c r="M13" i="2"/>
  <c r="V13" i="2"/>
  <c r="AE13" i="2"/>
  <c r="AV13" i="2"/>
  <c r="AX13" i="2"/>
  <c r="AU13" i="2"/>
  <c r="H13" i="2"/>
  <c r="S13" i="2"/>
  <c r="AS13" i="2"/>
  <c r="Y13" i="2"/>
  <c r="AP13" i="2"/>
  <c r="L13" i="2"/>
  <c r="U13" i="2"/>
  <c r="AD13" i="2"/>
  <c r="AM13" i="2"/>
  <c r="B15" i="2"/>
  <c r="C15" i="2" s="1"/>
  <c r="BB14" i="2"/>
  <c r="AT14" i="2"/>
  <c r="AL14" i="2"/>
  <c r="AD14" i="2"/>
  <c r="V14" i="2"/>
  <c r="N14" i="2"/>
  <c r="F14" i="2"/>
  <c r="BA14" i="2"/>
  <c r="AS14" i="2"/>
  <c r="AK14" i="2"/>
  <c r="AC14" i="2"/>
  <c r="U14" i="2"/>
  <c r="M14" i="2"/>
  <c r="E14" i="2"/>
  <c r="AZ14" i="2"/>
  <c r="AR14" i="2"/>
  <c r="AJ14" i="2"/>
  <c r="AB14" i="2"/>
  <c r="T14" i="2"/>
  <c r="L14" i="2"/>
  <c r="AY14" i="2"/>
  <c r="AQ14" i="2"/>
  <c r="AI14" i="2"/>
  <c r="AA14" i="2"/>
  <c r="S14" i="2"/>
  <c r="K14" i="2"/>
  <c r="AX14" i="2"/>
  <c r="AP14" i="2"/>
  <c r="AH14" i="2"/>
  <c r="Z14" i="2"/>
  <c r="R14" i="2"/>
  <c r="J14" i="2"/>
  <c r="AW14" i="2"/>
  <c r="AO14" i="2"/>
  <c r="AG14" i="2"/>
  <c r="Y14" i="2"/>
  <c r="Q14" i="2"/>
  <c r="I14" i="2"/>
  <c r="AV14" i="2"/>
  <c r="AN14" i="2"/>
  <c r="AF14" i="2"/>
  <c r="X14" i="2"/>
  <c r="P14" i="2"/>
  <c r="H14" i="2"/>
  <c r="O14" i="2"/>
  <c r="G14" i="2"/>
  <c r="AM14" i="2"/>
  <c r="AU14" i="2"/>
  <c r="W14" i="2"/>
  <c r="AE14" i="2"/>
  <c r="E11" i="2"/>
  <c r="D10" i="2" l="1"/>
  <c r="D11" i="2"/>
  <c r="D12" i="2"/>
  <c r="D14" i="2"/>
  <c r="D13" i="2"/>
  <c r="B16" i="2"/>
  <c r="C16" i="2" s="1"/>
  <c r="AZ15" i="2"/>
  <c r="AR15" i="2"/>
  <c r="AJ15" i="2"/>
  <c r="AB15" i="2"/>
  <c r="T15" i="2"/>
  <c r="L15" i="2"/>
  <c r="AY15" i="2"/>
  <c r="AQ15" i="2"/>
  <c r="AI15" i="2"/>
  <c r="AA15" i="2"/>
  <c r="S15" i="2"/>
  <c r="K15" i="2"/>
  <c r="AX15" i="2"/>
  <c r="AP15" i="2"/>
  <c r="AH15" i="2"/>
  <c r="Z15" i="2"/>
  <c r="R15" i="2"/>
  <c r="J15" i="2"/>
  <c r="AW15" i="2"/>
  <c r="AO15" i="2"/>
  <c r="AG15" i="2"/>
  <c r="Y15" i="2"/>
  <c r="Q15" i="2"/>
  <c r="I15" i="2"/>
  <c r="AV15" i="2"/>
  <c r="AN15" i="2"/>
  <c r="AF15" i="2"/>
  <c r="X15" i="2"/>
  <c r="P15" i="2"/>
  <c r="H15" i="2"/>
  <c r="AU15" i="2"/>
  <c r="AM15" i="2"/>
  <c r="AE15" i="2"/>
  <c r="W15" i="2"/>
  <c r="O15" i="2"/>
  <c r="G15" i="2"/>
  <c r="BB15" i="2"/>
  <c r="AT15" i="2"/>
  <c r="AL15" i="2"/>
  <c r="AD15" i="2"/>
  <c r="V15" i="2"/>
  <c r="N15" i="2"/>
  <c r="F15" i="2"/>
  <c r="AC15" i="2"/>
  <c r="BA15" i="2"/>
  <c r="U15" i="2"/>
  <c r="AK15" i="2"/>
  <c r="M15" i="2"/>
  <c r="AS15" i="2"/>
  <c r="E15" i="2"/>
  <c r="D15" i="2" l="1"/>
  <c r="B17" i="2"/>
  <c r="C17" i="2" s="1"/>
  <c r="AX16" i="2"/>
  <c r="AP16" i="2"/>
  <c r="AH16" i="2"/>
  <c r="Z16" i="2"/>
  <c r="R16" i="2"/>
  <c r="J16" i="2"/>
  <c r="AW16" i="2"/>
  <c r="AO16" i="2"/>
  <c r="AG16" i="2"/>
  <c r="Y16" i="2"/>
  <c r="Q16" i="2"/>
  <c r="I16" i="2"/>
  <c r="AV16" i="2"/>
  <c r="AN16" i="2"/>
  <c r="AF16" i="2"/>
  <c r="X16" i="2"/>
  <c r="P16" i="2"/>
  <c r="H16" i="2"/>
  <c r="AU16" i="2"/>
  <c r="AM16" i="2"/>
  <c r="AE16" i="2"/>
  <c r="W16" i="2"/>
  <c r="O16" i="2"/>
  <c r="G16" i="2"/>
  <c r="BB16" i="2"/>
  <c r="AT16" i="2"/>
  <c r="AL16" i="2"/>
  <c r="AD16" i="2"/>
  <c r="V16" i="2"/>
  <c r="N16" i="2"/>
  <c r="F16" i="2"/>
  <c r="BA16" i="2"/>
  <c r="AS16" i="2"/>
  <c r="AK16" i="2"/>
  <c r="AC16" i="2"/>
  <c r="U16" i="2"/>
  <c r="M16" i="2"/>
  <c r="E16" i="2"/>
  <c r="AZ16" i="2"/>
  <c r="AR16" i="2"/>
  <c r="AJ16" i="2"/>
  <c r="AB16" i="2"/>
  <c r="T16" i="2"/>
  <c r="L16" i="2"/>
  <c r="AQ16" i="2"/>
  <c r="K16" i="2"/>
  <c r="AI16" i="2"/>
  <c r="AA16" i="2"/>
  <c r="S16" i="2"/>
  <c r="AY16" i="2"/>
  <c r="D16" i="2" l="1"/>
  <c r="B18" i="2"/>
  <c r="C18" i="2" s="1"/>
  <c r="AV17" i="2"/>
  <c r="AN17" i="2"/>
  <c r="AF17" i="2"/>
  <c r="X17" i="2"/>
  <c r="P17" i="2"/>
  <c r="H17" i="2"/>
  <c r="AU17" i="2"/>
  <c r="AM17" i="2"/>
  <c r="AE17" i="2"/>
  <c r="W17" i="2"/>
  <c r="O17" i="2"/>
  <c r="G17" i="2"/>
  <c r="BB17" i="2"/>
  <c r="AT17" i="2"/>
  <c r="AL17" i="2"/>
  <c r="AD17" i="2"/>
  <c r="V17" i="2"/>
  <c r="N17" i="2"/>
  <c r="F17" i="2"/>
  <c r="BA17" i="2"/>
  <c r="AS17" i="2"/>
  <c r="AK17" i="2"/>
  <c r="AC17" i="2"/>
  <c r="U17" i="2"/>
  <c r="M17" i="2"/>
  <c r="E17" i="2"/>
  <c r="AZ17" i="2"/>
  <c r="AR17" i="2"/>
  <c r="AJ17" i="2"/>
  <c r="AB17" i="2"/>
  <c r="T17" i="2"/>
  <c r="L17" i="2"/>
  <c r="AY17" i="2"/>
  <c r="AQ17" i="2"/>
  <c r="AI17" i="2"/>
  <c r="AA17" i="2"/>
  <c r="S17" i="2"/>
  <c r="K17" i="2"/>
  <c r="AX17" i="2"/>
  <c r="AP17" i="2"/>
  <c r="AH17" i="2"/>
  <c r="Z17" i="2"/>
  <c r="R17" i="2"/>
  <c r="J17" i="2"/>
  <c r="AW17" i="2"/>
  <c r="I17" i="2"/>
  <c r="AO17" i="2"/>
  <c r="Q17" i="2"/>
  <c r="AG17" i="2"/>
  <c r="Y17" i="2"/>
  <c r="D17" i="2" l="1"/>
  <c r="B19" i="2"/>
  <c r="C19" i="2" s="1"/>
  <c r="BB18" i="2"/>
  <c r="AT18" i="2"/>
  <c r="AL18" i="2"/>
  <c r="AD18" i="2"/>
  <c r="V18" i="2"/>
  <c r="N18" i="2"/>
  <c r="F18" i="2"/>
  <c r="BA18" i="2"/>
  <c r="AS18" i="2"/>
  <c r="AK18" i="2"/>
  <c r="AC18" i="2"/>
  <c r="U18" i="2"/>
  <c r="M18" i="2"/>
  <c r="E18" i="2"/>
  <c r="AZ18" i="2"/>
  <c r="AR18" i="2"/>
  <c r="AJ18" i="2"/>
  <c r="AB18" i="2"/>
  <c r="T18" i="2"/>
  <c r="L18" i="2"/>
  <c r="AY18" i="2"/>
  <c r="AQ18" i="2"/>
  <c r="AI18" i="2"/>
  <c r="AA18" i="2"/>
  <c r="S18" i="2"/>
  <c r="K18" i="2"/>
  <c r="AX18" i="2"/>
  <c r="AP18" i="2"/>
  <c r="AH18" i="2"/>
  <c r="Z18" i="2"/>
  <c r="R18" i="2"/>
  <c r="J18" i="2"/>
  <c r="AW18" i="2"/>
  <c r="AO18" i="2"/>
  <c r="AG18" i="2"/>
  <c r="Y18" i="2"/>
  <c r="Q18" i="2"/>
  <c r="I18" i="2"/>
  <c r="AV18" i="2"/>
  <c r="AN18" i="2"/>
  <c r="AF18" i="2"/>
  <c r="X18" i="2"/>
  <c r="P18" i="2"/>
  <c r="H18" i="2"/>
  <c r="G18" i="2"/>
  <c r="O18" i="2"/>
  <c r="AU18" i="2"/>
  <c r="AM18" i="2"/>
  <c r="AE18" i="2"/>
  <c r="W18" i="2"/>
  <c r="D18" i="2" l="1"/>
  <c r="B20" i="2"/>
  <c r="C20" i="2" s="1"/>
  <c r="AZ19" i="2"/>
  <c r="AR19" i="2"/>
  <c r="AJ19" i="2"/>
  <c r="AB19" i="2"/>
  <c r="T19" i="2"/>
  <c r="L19" i="2"/>
  <c r="AY19" i="2"/>
  <c r="AQ19" i="2"/>
  <c r="AI19" i="2"/>
  <c r="AA19" i="2"/>
  <c r="S19" i="2"/>
  <c r="K19" i="2"/>
  <c r="AX19" i="2"/>
  <c r="AP19" i="2"/>
  <c r="AH19" i="2"/>
  <c r="Z19" i="2"/>
  <c r="R19" i="2"/>
  <c r="J19" i="2"/>
  <c r="AW19" i="2"/>
  <c r="AO19" i="2"/>
  <c r="AG19" i="2"/>
  <c r="Y19" i="2"/>
  <c r="Q19" i="2"/>
  <c r="I19" i="2"/>
  <c r="AV19" i="2"/>
  <c r="AN19" i="2"/>
  <c r="AF19" i="2"/>
  <c r="X19" i="2"/>
  <c r="P19" i="2"/>
  <c r="H19" i="2"/>
  <c r="AU19" i="2"/>
  <c r="AM19" i="2"/>
  <c r="AE19" i="2"/>
  <c r="W19" i="2"/>
  <c r="O19" i="2"/>
  <c r="G19" i="2"/>
  <c r="BB19" i="2"/>
  <c r="AT19" i="2"/>
  <c r="AL19" i="2"/>
  <c r="AD19" i="2"/>
  <c r="V19" i="2"/>
  <c r="N19" i="2"/>
  <c r="F19" i="2"/>
  <c r="U19" i="2"/>
  <c r="M19" i="2"/>
  <c r="BA19" i="2"/>
  <c r="E19" i="2"/>
  <c r="AS19" i="2"/>
  <c r="AC19" i="2"/>
  <c r="AK19" i="2"/>
  <c r="D19" i="2" l="1"/>
  <c r="B21" i="2"/>
  <c r="C21" i="2" s="1"/>
  <c r="AX20" i="2"/>
  <c r="AP20" i="2"/>
  <c r="AH20" i="2"/>
  <c r="Z20" i="2"/>
  <c r="R20" i="2"/>
  <c r="J20" i="2"/>
  <c r="AW20" i="2"/>
  <c r="AO20" i="2"/>
  <c r="AG20" i="2"/>
  <c r="Y20" i="2"/>
  <c r="Q20" i="2"/>
  <c r="I20" i="2"/>
  <c r="AV20" i="2"/>
  <c r="AN20" i="2"/>
  <c r="AF20" i="2"/>
  <c r="X20" i="2"/>
  <c r="P20" i="2"/>
  <c r="H20" i="2"/>
  <c r="AU20" i="2"/>
  <c r="AM20" i="2"/>
  <c r="AE20" i="2"/>
  <c r="W20" i="2"/>
  <c r="O20" i="2"/>
  <c r="G20" i="2"/>
  <c r="BB20" i="2"/>
  <c r="AT20" i="2"/>
  <c r="AL20" i="2"/>
  <c r="AD20" i="2"/>
  <c r="V20" i="2"/>
  <c r="N20" i="2"/>
  <c r="F20" i="2"/>
  <c r="BA20" i="2"/>
  <c r="AS20" i="2"/>
  <c r="AK20" i="2"/>
  <c r="AC20" i="2"/>
  <c r="U20" i="2"/>
  <c r="M20" i="2"/>
  <c r="E20" i="2"/>
  <c r="AZ20" i="2"/>
  <c r="AR20" i="2"/>
  <c r="AJ20" i="2"/>
  <c r="AB20" i="2"/>
  <c r="T20" i="2"/>
  <c r="L20" i="2"/>
  <c r="AI20" i="2"/>
  <c r="AQ20" i="2"/>
  <c r="AA20" i="2"/>
  <c r="S20" i="2"/>
  <c r="K20" i="2"/>
  <c r="AY20" i="2"/>
  <c r="D20" i="2" l="1"/>
  <c r="B22" i="2"/>
  <c r="C22" i="2" s="1"/>
  <c r="AV21" i="2"/>
  <c r="AN21" i="2"/>
  <c r="AF21" i="2"/>
  <c r="X21" i="2"/>
  <c r="P21" i="2"/>
  <c r="H21" i="2"/>
  <c r="AU21" i="2"/>
  <c r="AM21" i="2"/>
  <c r="AE21" i="2"/>
  <c r="W21" i="2"/>
  <c r="O21" i="2"/>
  <c r="G21" i="2"/>
  <c r="BB21" i="2"/>
  <c r="AT21" i="2"/>
  <c r="AL21" i="2"/>
  <c r="AD21" i="2"/>
  <c r="V21" i="2"/>
  <c r="N21" i="2"/>
  <c r="F21" i="2"/>
  <c r="BA21" i="2"/>
  <c r="AS21" i="2"/>
  <c r="AK21" i="2"/>
  <c r="AC21" i="2"/>
  <c r="U21" i="2"/>
  <c r="M21" i="2"/>
  <c r="E21" i="2"/>
  <c r="AZ21" i="2"/>
  <c r="AR21" i="2"/>
  <c r="AJ21" i="2"/>
  <c r="AB21" i="2"/>
  <c r="T21" i="2"/>
  <c r="L21" i="2"/>
  <c r="AY21" i="2"/>
  <c r="AQ21" i="2"/>
  <c r="AI21" i="2"/>
  <c r="AA21" i="2"/>
  <c r="S21" i="2"/>
  <c r="K21" i="2"/>
  <c r="AX21" i="2"/>
  <c r="AP21" i="2"/>
  <c r="AH21" i="2"/>
  <c r="Z21" i="2"/>
  <c r="R21" i="2"/>
  <c r="J21" i="2"/>
  <c r="AW21" i="2"/>
  <c r="AO21" i="2"/>
  <c r="AG21" i="2"/>
  <c r="Y21" i="2"/>
  <c r="Q21" i="2"/>
  <c r="I21" i="2"/>
  <c r="D21" i="2" l="1"/>
  <c r="B23" i="2"/>
  <c r="C23" i="2" s="1"/>
  <c r="BB22" i="2"/>
  <c r="AT22" i="2"/>
  <c r="AL22" i="2"/>
  <c r="AD22" i="2"/>
  <c r="V22" i="2"/>
  <c r="N22" i="2"/>
  <c r="F22" i="2"/>
  <c r="AM22" i="2"/>
  <c r="BA22" i="2"/>
  <c r="AS22" i="2"/>
  <c r="AK22" i="2"/>
  <c r="AC22" i="2"/>
  <c r="U22" i="2"/>
  <c r="M22" i="2"/>
  <c r="E22" i="2"/>
  <c r="AU22" i="2"/>
  <c r="G22" i="2"/>
  <c r="AZ22" i="2"/>
  <c r="AR22" i="2"/>
  <c r="AJ22" i="2"/>
  <c r="AB22" i="2"/>
  <c r="T22" i="2"/>
  <c r="L22" i="2"/>
  <c r="AE22" i="2"/>
  <c r="AY22" i="2"/>
  <c r="AQ22" i="2"/>
  <c r="AI22" i="2"/>
  <c r="AA22" i="2"/>
  <c r="S22" i="2"/>
  <c r="K22" i="2"/>
  <c r="W22" i="2"/>
  <c r="AX22" i="2"/>
  <c r="AP22" i="2"/>
  <c r="AH22" i="2"/>
  <c r="Z22" i="2"/>
  <c r="R22" i="2"/>
  <c r="J22" i="2"/>
  <c r="AW22" i="2"/>
  <c r="AO22" i="2"/>
  <c r="AG22" i="2"/>
  <c r="Y22" i="2"/>
  <c r="Q22" i="2"/>
  <c r="I22" i="2"/>
  <c r="AV22" i="2"/>
  <c r="AN22" i="2"/>
  <c r="AF22" i="2"/>
  <c r="X22" i="2"/>
  <c r="P22" i="2"/>
  <c r="H22" i="2"/>
  <c r="O22" i="2"/>
  <c r="D22" i="2" l="1"/>
  <c r="B24" i="2"/>
  <c r="C24" i="2" s="1"/>
  <c r="AZ23" i="2"/>
  <c r="AR23" i="2"/>
  <c r="AJ23" i="2"/>
  <c r="AB23" i="2"/>
  <c r="T23" i="2"/>
  <c r="L23" i="2"/>
  <c r="AS23" i="2"/>
  <c r="AY23" i="2"/>
  <c r="AQ23" i="2"/>
  <c r="AI23" i="2"/>
  <c r="AA23" i="2"/>
  <c r="S23" i="2"/>
  <c r="K23" i="2"/>
  <c r="AX23" i="2"/>
  <c r="AP23" i="2"/>
  <c r="AH23" i="2"/>
  <c r="Z23" i="2"/>
  <c r="R23" i="2"/>
  <c r="J23" i="2"/>
  <c r="AK23" i="2"/>
  <c r="AW23" i="2"/>
  <c r="AO23" i="2"/>
  <c r="AG23" i="2"/>
  <c r="Y23" i="2"/>
  <c r="Q23" i="2"/>
  <c r="I23" i="2"/>
  <c r="AC23" i="2"/>
  <c r="AV23" i="2"/>
  <c r="AN23" i="2"/>
  <c r="AF23" i="2"/>
  <c r="X23" i="2"/>
  <c r="P23" i="2"/>
  <c r="H23" i="2"/>
  <c r="U23" i="2"/>
  <c r="AU23" i="2"/>
  <c r="AM23" i="2"/>
  <c r="AE23" i="2"/>
  <c r="W23" i="2"/>
  <c r="O23" i="2"/>
  <c r="G23" i="2"/>
  <c r="M23" i="2"/>
  <c r="BB23" i="2"/>
  <c r="AT23" i="2"/>
  <c r="AL23" i="2"/>
  <c r="AD23" i="2"/>
  <c r="V23" i="2"/>
  <c r="N23" i="2"/>
  <c r="F23" i="2"/>
  <c r="BA23" i="2"/>
  <c r="E23" i="2"/>
  <c r="D23" i="2" l="1"/>
  <c r="B25" i="2"/>
  <c r="C25" i="2" s="1"/>
  <c r="AX24" i="2"/>
  <c r="AP24" i="2"/>
  <c r="AH24" i="2"/>
  <c r="Z24" i="2"/>
  <c r="R24" i="2"/>
  <c r="J24" i="2"/>
  <c r="AQ24" i="2"/>
  <c r="AW24" i="2"/>
  <c r="AO24" i="2"/>
  <c r="AG24" i="2"/>
  <c r="Y24" i="2"/>
  <c r="Q24" i="2"/>
  <c r="I24" i="2"/>
  <c r="K24" i="2"/>
  <c r="AV24" i="2"/>
  <c r="AN24" i="2"/>
  <c r="AF24" i="2"/>
  <c r="X24" i="2"/>
  <c r="P24" i="2"/>
  <c r="H24" i="2"/>
  <c r="AU24" i="2"/>
  <c r="AM24" i="2"/>
  <c r="AE24" i="2"/>
  <c r="W24" i="2"/>
  <c r="O24" i="2"/>
  <c r="G24" i="2"/>
  <c r="S24" i="2"/>
  <c r="BB24" i="2"/>
  <c r="AT24" i="2"/>
  <c r="AL24" i="2"/>
  <c r="AD24" i="2"/>
  <c r="V24" i="2"/>
  <c r="N24" i="2"/>
  <c r="F24" i="2"/>
  <c r="AA24" i="2"/>
  <c r="BA24" i="2"/>
  <c r="AS24" i="2"/>
  <c r="AK24" i="2"/>
  <c r="AC24" i="2"/>
  <c r="U24" i="2"/>
  <c r="M24" i="2"/>
  <c r="E24" i="2"/>
  <c r="AI24" i="2"/>
  <c r="AZ24" i="2"/>
  <c r="AR24" i="2"/>
  <c r="AJ24" i="2"/>
  <c r="AB24" i="2"/>
  <c r="T24" i="2"/>
  <c r="L24" i="2"/>
  <c r="AY24" i="2"/>
  <c r="D24" i="2" l="1"/>
  <c r="B26" i="2"/>
  <c r="C26" i="2" s="1"/>
  <c r="AV25" i="2"/>
  <c r="AN25" i="2"/>
  <c r="AF25" i="2"/>
  <c r="X25" i="2"/>
  <c r="P25" i="2"/>
  <c r="H25" i="2"/>
  <c r="AW25" i="2"/>
  <c r="AU25" i="2"/>
  <c r="AM25" i="2"/>
  <c r="AE25" i="2"/>
  <c r="W25" i="2"/>
  <c r="O25" i="2"/>
  <c r="G25" i="2"/>
  <c r="I25" i="2"/>
  <c r="BB25" i="2"/>
  <c r="AT25" i="2"/>
  <c r="AL25" i="2"/>
  <c r="AD25" i="2"/>
  <c r="V25" i="2"/>
  <c r="N25" i="2"/>
  <c r="F25" i="2"/>
  <c r="AG25" i="2"/>
  <c r="BA25" i="2"/>
  <c r="AS25" i="2"/>
  <c r="AK25" i="2"/>
  <c r="AC25" i="2"/>
  <c r="U25" i="2"/>
  <c r="M25" i="2"/>
  <c r="E25" i="2"/>
  <c r="Q25" i="2"/>
  <c r="AZ25" i="2"/>
  <c r="AR25" i="2"/>
  <c r="AJ25" i="2"/>
  <c r="AB25" i="2"/>
  <c r="T25" i="2"/>
  <c r="L25" i="2"/>
  <c r="AO25" i="2"/>
  <c r="AY25" i="2"/>
  <c r="AQ25" i="2"/>
  <c r="AI25" i="2"/>
  <c r="AA25" i="2"/>
  <c r="S25" i="2"/>
  <c r="K25" i="2"/>
  <c r="Y25" i="2"/>
  <c r="AX25" i="2"/>
  <c r="AP25" i="2"/>
  <c r="AH25" i="2"/>
  <c r="Z25" i="2"/>
  <c r="R25" i="2"/>
  <c r="J25" i="2"/>
  <c r="D25" i="2" l="1"/>
  <c r="B27" i="2"/>
  <c r="C27" i="2" s="1"/>
  <c r="BB26" i="2"/>
  <c r="AT26" i="2"/>
  <c r="AL26" i="2"/>
  <c r="AD26" i="2"/>
  <c r="V26" i="2"/>
  <c r="N26" i="2"/>
  <c r="F26" i="2"/>
  <c r="BA26" i="2"/>
  <c r="AS26" i="2"/>
  <c r="AK26" i="2"/>
  <c r="AC26" i="2"/>
  <c r="U26" i="2"/>
  <c r="M26" i="2"/>
  <c r="E26" i="2"/>
  <c r="O26" i="2"/>
  <c r="AZ26" i="2"/>
  <c r="AR26" i="2"/>
  <c r="AJ26" i="2"/>
  <c r="AB26" i="2"/>
  <c r="T26" i="2"/>
  <c r="L26" i="2"/>
  <c r="AE26" i="2"/>
  <c r="AY26" i="2"/>
  <c r="AQ26" i="2"/>
  <c r="AI26" i="2"/>
  <c r="AA26" i="2"/>
  <c r="S26" i="2"/>
  <c r="K26" i="2"/>
  <c r="W26" i="2"/>
  <c r="AX26" i="2"/>
  <c r="AP26" i="2"/>
  <c r="AH26" i="2"/>
  <c r="Z26" i="2"/>
  <c r="R26" i="2"/>
  <c r="J26" i="2"/>
  <c r="AW26" i="2"/>
  <c r="AO26" i="2"/>
  <c r="AG26" i="2"/>
  <c r="Y26" i="2"/>
  <c r="Q26" i="2"/>
  <c r="I26" i="2"/>
  <c r="AM26" i="2"/>
  <c r="AV26" i="2"/>
  <c r="AN26" i="2"/>
  <c r="AF26" i="2"/>
  <c r="X26" i="2"/>
  <c r="P26" i="2"/>
  <c r="H26" i="2"/>
  <c r="AU26" i="2"/>
  <c r="G26" i="2"/>
  <c r="D26" i="2" l="1"/>
  <c r="B28" i="2"/>
  <c r="C28" i="2" s="1"/>
  <c r="AZ27" i="2"/>
  <c r="AR27" i="2"/>
  <c r="AJ27" i="2"/>
  <c r="AB27" i="2"/>
  <c r="T27" i="2"/>
  <c r="L27" i="2"/>
  <c r="BA27" i="2"/>
  <c r="E27" i="2"/>
  <c r="AY27" i="2"/>
  <c r="AQ27" i="2"/>
  <c r="AI27" i="2"/>
  <c r="AA27" i="2"/>
  <c r="S27" i="2"/>
  <c r="K27" i="2"/>
  <c r="U27" i="2"/>
  <c r="AX27" i="2"/>
  <c r="AP27" i="2"/>
  <c r="AH27" i="2"/>
  <c r="Z27" i="2"/>
  <c r="R27" i="2"/>
  <c r="J27" i="2"/>
  <c r="AC27" i="2"/>
  <c r="AW27" i="2"/>
  <c r="AO27" i="2"/>
  <c r="AG27" i="2"/>
  <c r="Y27" i="2"/>
  <c r="Q27" i="2"/>
  <c r="I27" i="2"/>
  <c r="AK27" i="2"/>
  <c r="AV27" i="2"/>
  <c r="AN27" i="2"/>
  <c r="AF27" i="2"/>
  <c r="X27" i="2"/>
  <c r="P27" i="2"/>
  <c r="H27" i="2"/>
  <c r="M27" i="2"/>
  <c r="AU27" i="2"/>
  <c r="AM27" i="2"/>
  <c r="AE27" i="2"/>
  <c r="W27" i="2"/>
  <c r="O27" i="2"/>
  <c r="G27" i="2"/>
  <c r="BB27" i="2"/>
  <c r="AT27" i="2"/>
  <c r="AL27" i="2"/>
  <c r="AD27" i="2"/>
  <c r="V27" i="2"/>
  <c r="N27" i="2"/>
  <c r="F27" i="2"/>
  <c r="AS27" i="2"/>
  <c r="D27" i="2" l="1"/>
  <c r="B29" i="2"/>
  <c r="C29" i="2" s="1"/>
  <c r="AX28" i="2"/>
  <c r="AP28" i="2"/>
  <c r="AH28" i="2"/>
  <c r="Z28" i="2"/>
  <c r="R28" i="2"/>
  <c r="J28" i="2"/>
  <c r="AW28" i="2"/>
  <c r="AO28" i="2"/>
  <c r="AG28" i="2"/>
  <c r="Y28" i="2"/>
  <c r="Q28" i="2"/>
  <c r="I28" i="2"/>
  <c r="S28" i="2"/>
  <c r="AV28" i="2"/>
  <c r="AN28" i="2"/>
  <c r="AF28" i="2"/>
  <c r="X28" i="2"/>
  <c r="P28" i="2"/>
  <c r="H28" i="2"/>
  <c r="AQ28" i="2"/>
  <c r="AU28" i="2"/>
  <c r="AM28" i="2"/>
  <c r="AE28" i="2"/>
  <c r="W28" i="2"/>
  <c r="O28" i="2"/>
  <c r="G28" i="2"/>
  <c r="AI28" i="2"/>
  <c r="BB28" i="2"/>
  <c r="AT28" i="2"/>
  <c r="AL28" i="2"/>
  <c r="AD28" i="2"/>
  <c r="V28" i="2"/>
  <c r="N28" i="2"/>
  <c r="F28" i="2"/>
  <c r="AA28" i="2"/>
  <c r="BA28" i="2"/>
  <c r="AS28" i="2"/>
  <c r="AK28" i="2"/>
  <c r="AC28" i="2"/>
  <c r="U28" i="2"/>
  <c r="M28" i="2"/>
  <c r="E28" i="2"/>
  <c r="K28" i="2"/>
  <c r="AZ28" i="2"/>
  <c r="AR28" i="2"/>
  <c r="AJ28" i="2"/>
  <c r="AB28" i="2"/>
  <c r="T28" i="2"/>
  <c r="L28" i="2"/>
  <c r="AY28" i="2"/>
  <c r="D28" i="2" l="1"/>
  <c r="B30" i="2"/>
  <c r="C30" i="2" s="1"/>
  <c r="AV29" i="2"/>
  <c r="AN29" i="2"/>
  <c r="AF29" i="2"/>
  <c r="X29" i="2"/>
  <c r="P29" i="2"/>
  <c r="H29" i="2"/>
  <c r="I29" i="2"/>
  <c r="AU29" i="2"/>
  <c r="AM29" i="2"/>
  <c r="AE29" i="2"/>
  <c r="W29" i="2"/>
  <c r="O29" i="2"/>
  <c r="G29" i="2"/>
  <c r="Y29" i="2"/>
  <c r="BB29" i="2"/>
  <c r="AT29" i="2"/>
  <c r="AL29" i="2"/>
  <c r="AD29" i="2"/>
  <c r="V29" i="2"/>
  <c r="N29" i="2"/>
  <c r="F29" i="2"/>
  <c r="AW29" i="2"/>
  <c r="BA29" i="2"/>
  <c r="AS29" i="2"/>
  <c r="AK29" i="2"/>
  <c r="AC29" i="2"/>
  <c r="U29" i="2"/>
  <c r="M29" i="2"/>
  <c r="E29" i="2"/>
  <c r="AG29" i="2"/>
  <c r="AZ29" i="2"/>
  <c r="AR29" i="2"/>
  <c r="AJ29" i="2"/>
  <c r="AB29" i="2"/>
  <c r="T29" i="2"/>
  <c r="L29" i="2"/>
  <c r="AO29" i="2"/>
  <c r="AY29" i="2"/>
  <c r="AQ29" i="2"/>
  <c r="AI29" i="2"/>
  <c r="AA29" i="2"/>
  <c r="S29" i="2"/>
  <c r="K29" i="2"/>
  <c r="Q29" i="2"/>
  <c r="AX29" i="2"/>
  <c r="AP29" i="2"/>
  <c r="AH29" i="2"/>
  <c r="Z29" i="2"/>
  <c r="R29" i="2"/>
  <c r="J29" i="2"/>
  <c r="D29" i="2" l="1"/>
  <c r="B31" i="2"/>
  <c r="C31" i="2" s="1"/>
  <c r="BB30" i="2"/>
  <c r="AT30" i="2"/>
  <c r="AL30" i="2"/>
  <c r="AD30" i="2"/>
  <c r="V30" i="2"/>
  <c r="N30" i="2"/>
  <c r="F30" i="2"/>
  <c r="O30" i="2"/>
  <c r="BA30" i="2"/>
  <c r="AS30" i="2"/>
  <c r="AK30" i="2"/>
  <c r="AC30" i="2"/>
  <c r="U30" i="2"/>
  <c r="M30" i="2"/>
  <c r="E30" i="2"/>
  <c r="AU30" i="2"/>
  <c r="AZ30" i="2"/>
  <c r="AR30" i="2"/>
  <c r="AJ30" i="2"/>
  <c r="AB30" i="2"/>
  <c r="T30" i="2"/>
  <c r="L30" i="2"/>
  <c r="AE30" i="2"/>
  <c r="AY30" i="2"/>
  <c r="AQ30" i="2"/>
  <c r="AI30" i="2"/>
  <c r="AA30" i="2"/>
  <c r="S30" i="2"/>
  <c r="K30" i="2"/>
  <c r="W30" i="2"/>
  <c r="AX30" i="2"/>
  <c r="AP30" i="2"/>
  <c r="AH30" i="2"/>
  <c r="Z30" i="2"/>
  <c r="R30" i="2"/>
  <c r="J30" i="2"/>
  <c r="AW30" i="2"/>
  <c r="AO30" i="2"/>
  <c r="AG30" i="2"/>
  <c r="Y30" i="2"/>
  <c r="Q30" i="2"/>
  <c r="I30" i="2"/>
  <c r="AM30" i="2"/>
  <c r="AV30" i="2"/>
  <c r="AN30" i="2"/>
  <c r="AF30" i="2"/>
  <c r="X30" i="2"/>
  <c r="P30" i="2"/>
  <c r="H30" i="2"/>
  <c r="G30" i="2"/>
  <c r="D30" i="2" l="1"/>
  <c r="B32" i="2"/>
  <c r="C32" i="2" s="1"/>
  <c r="AZ31" i="2"/>
  <c r="AR31" i="2"/>
  <c r="AJ31" i="2"/>
  <c r="AB31" i="2"/>
  <c r="T31" i="2"/>
  <c r="L31" i="2"/>
  <c r="AK31" i="2"/>
  <c r="AY31" i="2"/>
  <c r="AQ31" i="2"/>
  <c r="AI31" i="2"/>
  <c r="AA31" i="2"/>
  <c r="S31" i="2"/>
  <c r="K31" i="2"/>
  <c r="BA31" i="2"/>
  <c r="AX31" i="2"/>
  <c r="AP31" i="2"/>
  <c r="AH31" i="2"/>
  <c r="Z31" i="2"/>
  <c r="R31" i="2"/>
  <c r="J31" i="2"/>
  <c r="AC31" i="2"/>
  <c r="AW31" i="2"/>
  <c r="AO31" i="2"/>
  <c r="AG31" i="2"/>
  <c r="Y31" i="2"/>
  <c r="Q31" i="2"/>
  <c r="I31" i="2"/>
  <c r="U31" i="2"/>
  <c r="AV31" i="2"/>
  <c r="AN31" i="2"/>
  <c r="AF31" i="2"/>
  <c r="X31" i="2"/>
  <c r="P31" i="2"/>
  <c r="H31" i="2"/>
  <c r="E31" i="2"/>
  <c r="AU31" i="2"/>
  <c r="AM31" i="2"/>
  <c r="AE31" i="2"/>
  <c r="W31" i="2"/>
  <c r="O31" i="2"/>
  <c r="G31" i="2"/>
  <c r="AS31" i="2"/>
  <c r="BB31" i="2"/>
  <c r="AT31" i="2"/>
  <c r="AL31" i="2"/>
  <c r="AD31" i="2"/>
  <c r="V31" i="2"/>
  <c r="N31" i="2"/>
  <c r="F31" i="2"/>
  <c r="M31" i="2"/>
  <c r="D31" i="2" l="1"/>
  <c r="B33" i="2"/>
  <c r="C33" i="2" s="1"/>
  <c r="AX32" i="2"/>
  <c r="AP32" i="2"/>
  <c r="AH32" i="2"/>
  <c r="Z32" i="2"/>
  <c r="R32" i="2"/>
  <c r="J32" i="2"/>
  <c r="AQ32" i="2"/>
  <c r="AW32" i="2"/>
  <c r="AO32" i="2"/>
  <c r="AG32" i="2"/>
  <c r="Y32" i="2"/>
  <c r="Q32" i="2"/>
  <c r="I32" i="2"/>
  <c r="AV32" i="2"/>
  <c r="AN32" i="2"/>
  <c r="AF32" i="2"/>
  <c r="X32" i="2"/>
  <c r="P32" i="2"/>
  <c r="H32" i="2"/>
  <c r="AY32" i="2"/>
  <c r="AU32" i="2"/>
  <c r="AM32" i="2"/>
  <c r="AE32" i="2"/>
  <c r="W32" i="2"/>
  <c r="O32" i="2"/>
  <c r="G32" i="2"/>
  <c r="AA32" i="2"/>
  <c r="BB32" i="2"/>
  <c r="AT32" i="2"/>
  <c r="AL32" i="2"/>
  <c r="AD32" i="2"/>
  <c r="V32" i="2"/>
  <c r="N32" i="2"/>
  <c r="F32" i="2"/>
  <c r="S32" i="2"/>
  <c r="BA32" i="2"/>
  <c r="AS32" i="2"/>
  <c r="AK32" i="2"/>
  <c r="AC32" i="2"/>
  <c r="U32" i="2"/>
  <c r="M32" i="2"/>
  <c r="E32" i="2"/>
  <c r="AI32" i="2"/>
  <c r="AZ32" i="2"/>
  <c r="AR32" i="2"/>
  <c r="AJ32" i="2"/>
  <c r="AB32" i="2"/>
  <c r="T32" i="2"/>
  <c r="L32" i="2"/>
  <c r="K32" i="2"/>
  <c r="D32" i="2" l="1"/>
  <c r="B34" i="2"/>
  <c r="C34" i="2" s="1"/>
  <c r="AV33" i="2"/>
  <c r="AN33" i="2"/>
  <c r="AF33" i="2"/>
  <c r="X33" i="2"/>
  <c r="P33" i="2"/>
  <c r="H33" i="2"/>
  <c r="AW33" i="2"/>
  <c r="AU33" i="2"/>
  <c r="AM33" i="2"/>
  <c r="AE33" i="2"/>
  <c r="W33" i="2"/>
  <c r="O33" i="2"/>
  <c r="G33" i="2"/>
  <c r="I33" i="2"/>
  <c r="BB33" i="2"/>
  <c r="AT33" i="2"/>
  <c r="AL33" i="2"/>
  <c r="AD33" i="2"/>
  <c r="V33" i="2"/>
  <c r="N33" i="2"/>
  <c r="F33" i="2"/>
  <c r="BA33" i="2"/>
  <c r="AS33" i="2"/>
  <c r="AK33" i="2"/>
  <c r="AC33" i="2"/>
  <c r="U33" i="2"/>
  <c r="M33" i="2"/>
  <c r="E33" i="2"/>
  <c r="AO33" i="2"/>
  <c r="AZ33" i="2"/>
  <c r="AR33" i="2"/>
  <c r="AJ33" i="2"/>
  <c r="AB33" i="2"/>
  <c r="T33" i="2"/>
  <c r="L33" i="2"/>
  <c r="Y33" i="2"/>
  <c r="AY33" i="2"/>
  <c r="AQ33" i="2"/>
  <c r="AI33" i="2"/>
  <c r="AA33" i="2"/>
  <c r="S33" i="2"/>
  <c r="K33" i="2"/>
  <c r="AG33" i="2"/>
  <c r="AX33" i="2"/>
  <c r="AP33" i="2"/>
  <c r="AH33" i="2"/>
  <c r="Z33" i="2"/>
  <c r="R33" i="2"/>
  <c r="J33" i="2"/>
  <c r="Q33" i="2"/>
  <c r="D33" i="2" l="1"/>
  <c r="B35" i="2"/>
  <c r="C35" i="2" s="1"/>
  <c r="BB34" i="2"/>
  <c r="AT34" i="2"/>
  <c r="AL34" i="2"/>
  <c r="AD34" i="2"/>
  <c r="V34" i="2"/>
  <c r="N34" i="2"/>
  <c r="F34" i="2"/>
  <c r="AU34" i="2"/>
  <c r="BA34" i="2"/>
  <c r="AS34" i="2"/>
  <c r="AK34" i="2"/>
  <c r="AC34" i="2"/>
  <c r="U34" i="2"/>
  <c r="M34" i="2"/>
  <c r="E34" i="2"/>
  <c r="O34" i="2"/>
  <c r="AZ34" i="2"/>
  <c r="AR34" i="2"/>
  <c r="AJ34" i="2"/>
  <c r="AB34" i="2"/>
  <c r="T34" i="2"/>
  <c r="L34" i="2"/>
  <c r="G34" i="2"/>
  <c r="AY34" i="2"/>
  <c r="AQ34" i="2"/>
  <c r="AI34" i="2"/>
  <c r="AA34" i="2"/>
  <c r="S34" i="2"/>
  <c r="K34" i="2"/>
  <c r="AX34" i="2"/>
  <c r="AP34" i="2"/>
  <c r="AH34" i="2"/>
  <c r="Z34" i="2"/>
  <c r="R34" i="2"/>
  <c r="J34" i="2"/>
  <c r="AE34" i="2"/>
  <c r="AW34" i="2"/>
  <c r="AO34" i="2"/>
  <c r="AG34" i="2"/>
  <c r="Y34" i="2"/>
  <c r="Q34" i="2"/>
  <c r="I34" i="2"/>
  <c r="AM34" i="2"/>
  <c r="AV34" i="2"/>
  <c r="AN34" i="2"/>
  <c r="AF34" i="2"/>
  <c r="X34" i="2"/>
  <c r="P34" i="2"/>
  <c r="H34" i="2"/>
  <c r="W34" i="2"/>
  <c r="D34" i="2" l="1"/>
  <c r="B36" i="2"/>
  <c r="C36" i="2" s="1"/>
  <c r="AZ35" i="2"/>
  <c r="AR35" i="2"/>
  <c r="AJ35" i="2"/>
  <c r="AB35" i="2"/>
  <c r="T35" i="2"/>
  <c r="L35" i="2"/>
  <c r="AK35" i="2"/>
  <c r="AY35" i="2"/>
  <c r="AQ35" i="2"/>
  <c r="AI35" i="2"/>
  <c r="AA35" i="2"/>
  <c r="S35" i="2"/>
  <c r="K35" i="2"/>
  <c r="U35" i="2"/>
  <c r="AX35" i="2"/>
  <c r="AP35" i="2"/>
  <c r="AH35" i="2"/>
  <c r="Z35" i="2"/>
  <c r="R35" i="2"/>
  <c r="J35" i="2"/>
  <c r="E35" i="2"/>
  <c r="AW35" i="2"/>
  <c r="AO35" i="2"/>
  <c r="AG35" i="2"/>
  <c r="Y35" i="2"/>
  <c r="Q35" i="2"/>
  <c r="I35" i="2"/>
  <c r="M35" i="2"/>
  <c r="AV35" i="2"/>
  <c r="AN35" i="2"/>
  <c r="AF35" i="2"/>
  <c r="X35" i="2"/>
  <c r="P35" i="2"/>
  <c r="H35" i="2"/>
  <c r="AS35" i="2"/>
  <c r="AU35" i="2"/>
  <c r="AM35" i="2"/>
  <c r="AE35" i="2"/>
  <c r="W35" i="2"/>
  <c r="O35" i="2"/>
  <c r="G35" i="2"/>
  <c r="BA35" i="2"/>
  <c r="BB35" i="2"/>
  <c r="AT35" i="2"/>
  <c r="AL35" i="2"/>
  <c r="AD35" i="2"/>
  <c r="V35" i="2"/>
  <c r="N35" i="2"/>
  <c r="F35" i="2"/>
  <c r="AC35" i="2"/>
  <c r="D35" i="2" l="1"/>
  <c r="B37" i="2"/>
  <c r="C37" i="2" s="1"/>
  <c r="AX36" i="2"/>
  <c r="AP36" i="2"/>
  <c r="AH36" i="2"/>
  <c r="Z36" i="2"/>
  <c r="R36" i="2"/>
  <c r="J36" i="2"/>
  <c r="AI36" i="2"/>
  <c r="AW36" i="2"/>
  <c r="AO36" i="2"/>
  <c r="AG36" i="2"/>
  <c r="Y36" i="2"/>
  <c r="Q36" i="2"/>
  <c r="I36" i="2"/>
  <c r="AA36" i="2"/>
  <c r="AV36" i="2"/>
  <c r="AN36" i="2"/>
  <c r="AF36" i="2"/>
  <c r="X36" i="2"/>
  <c r="P36" i="2"/>
  <c r="H36" i="2"/>
  <c r="K36" i="2"/>
  <c r="AU36" i="2"/>
  <c r="AM36" i="2"/>
  <c r="AE36" i="2"/>
  <c r="W36" i="2"/>
  <c r="O36" i="2"/>
  <c r="G36" i="2"/>
  <c r="S36" i="2"/>
  <c r="BB36" i="2"/>
  <c r="AT36" i="2"/>
  <c r="AL36" i="2"/>
  <c r="AD36" i="2"/>
  <c r="V36" i="2"/>
  <c r="N36" i="2"/>
  <c r="F36" i="2"/>
  <c r="BA36" i="2"/>
  <c r="AS36" i="2"/>
  <c r="AK36" i="2"/>
  <c r="AC36" i="2"/>
  <c r="U36" i="2"/>
  <c r="M36" i="2"/>
  <c r="E36" i="2"/>
  <c r="AY36" i="2"/>
  <c r="AZ36" i="2"/>
  <c r="AR36" i="2"/>
  <c r="AJ36" i="2"/>
  <c r="AB36" i="2"/>
  <c r="T36" i="2"/>
  <c r="L36" i="2"/>
  <c r="AQ36" i="2"/>
  <c r="D36" i="2" l="1"/>
  <c r="B38" i="2"/>
  <c r="C38" i="2" s="1"/>
  <c r="AV37" i="2"/>
  <c r="AN37" i="2"/>
  <c r="AF37" i="2"/>
  <c r="X37" i="2"/>
  <c r="P37" i="2"/>
  <c r="H37" i="2"/>
  <c r="AG37" i="2"/>
  <c r="AU37" i="2"/>
  <c r="AM37" i="2"/>
  <c r="AE37" i="2"/>
  <c r="W37" i="2"/>
  <c r="O37" i="2"/>
  <c r="G37" i="2"/>
  <c r="AO37" i="2"/>
  <c r="BB37" i="2"/>
  <c r="AT37" i="2"/>
  <c r="AL37" i="2"/>
  <c r="AD37" i="2"/>
  <c r="V37" i="2"/>
  <c r="N37" i="2"/>
  <c r="F37" i="2"/>
  <c r="I37" i="2"/>
  <c r="BA37" i="2"/>
  <c r="AS37" i="2"/>
  <c r="AK37" i="2"/>
  <c r="AC37" i="2"/>
  <c r="U37" i="2"/>
  <c r="M37" i="2"/>
  <c r="E37" i="2"/>
  <c r="Q37" i="2"/>
  <c r="AZ37" i="2"/>
  <c r="AR37" i="2"/>
  <c r="AJ37" i="2"/>
  <c r="AB37" i="2"/>
  <c r="T37" i="2"/>
  <c r="L37" i="2"/>
  <c r="Y37" i="2"/>
  <c r="AY37" i="2"/>
  <c r="AQ37" i="2"/>
  <c r="AI37" i="2"/>
  <c r="AA37" i="2"/>
  <c r="S37" i="2"/>
  <c r="K37" i="2"/>
  <c r="AW37" i="2"/>
  <c r="AX37" i="2"/>
  <c r="AP37" i="2"/>
  <c r="AH37" i="2"/>
  <c r="Z37" i="2"/>
  <c r="R37" i="2"/>
  <c r="J37" i="2"/>
  <c r="D37" i="2" l="1"/>
  <c r="B39" i="2"/>
  <c r="C39" i="2" s="1"/>
  <c r="BB38" i="2"/>
  <c r="AT38" i="2"/>
  <c r="AL38" i="2"/>
  <c r="AD38" i="2"/>
  <c r="V38" i="2"/>
  <c r="N38" i="2"/>
  <c r="F38" i="2"/>
  <c r="AE38" i="2"/>
  <c r="BA38" i="2"/>
  <c r="AS38" i="2"/>
  <c r="AK38" i="2"/>
  <c r="AC38" i="2"/>
  <c r="U38" i="2"/>
  <c r="M38" i="2"/>
  <c r="E38" i="2"/>
  <c r="AZ38" i="2"/>
  <c r="AR38" i="2"/>
  <c r="AJ38" i="2"/>
  <c r="AB38" i="2"/>
  <c r="T38" i="2"/>
  <c r="L38" i="2"/>
  <c r="AU38" i="2"/>
  <c r="G38" i="2"/>
  <c r="AY38" i="2"/>
  <c r="AQ38" i="2"/>
  <c r="AI38" i="2"/>
  <c r="AA38" i="2"/>
  <c r="S38" i="2"/>
  <c r="K38" i="2"/>
  <c r="W38" i="2"/>
  <c r="AX38" i="2"/>
  <c r="AP38" i="2"/>
  <c r="AH38" i="2"/>
  <c r="Z38" i="2"/>
  <c r="R38" i="2"/>
  <c r="J38" i="2"/>
  <c r="AW38" i="2"/>
  <c r="AO38" i="2"/>
  <c r="AG38" i="2"/>
  <c r="Y38" i="2"/>
  <c r="Q38" i="2"/>
  <c r="I38" i="2"/>
  <c r="AM38" i="2"/>
  <c r="AV38" i="2"/>
  <c r="AN38" i="2"/>
  <c r="AF38" i="2"/>
  <c r="X38" i="2"/>
  <c r="P38" i="2"/>
  <c r="H38" i="2"/>
  <c r="O38" i="2"/>
  <c r="D38" i="2" l="1"/>
  <c r="B40" i="2"/>
  <c r="C40" i="2" s="1"/>
  <c r="AZ39" i="2"/>
  <c r="AR39" i="2"/>
  <c r="AJ39" i="2"/>
  <c r="AB39" i="2"/>
  <c r="T39" i="2"/>
  <c r="L39" i="2"/>
  <c r="AK39" i="2"/>
  <c r="AY39" i="2"/>
  <c r="AQ39" i="2"/>
  <c r="AI39" i="2"/>
  <c r="AA39" i="2"/>
  <c r="S39" i="2"/>
  <c r="K39" i="2"/>
  <c r="E39" i="2"/>
  <c r="AX39" i="2"/>
  <c r="AP39" i="2"/>
  <c r="AH39" i="2"/>
  <c r="Z39" i="2"/>
  <c r="R39" i="2"/>
  <c r="J39" i="2"/>
  <c r="BA39" i="2"/>
  <c r="AW39" i="2"/>
  <c r="AO39" i="2"/>
  <c r="AG39" i="2"/>
  <c r="Y39" i="2"/>
  <c r="Q39" i="2"/>
  <c r="I39" i="2"/>
  <c r="U39" i="2"/>
  <c r="AV39" i="2"/>
  <c r="AN39" i="2"/>
  <c r="AF39" i="2"/>
  <c r="X39" i="2"/>
  <c r="P39" i="2"/>
  <c r="H39" i="2"/>
  <c r="M39" i="2"/>
  <c r="AU39" i="2"/>
  <c r="AM39" i="2"/>
  <c r="AE39" i="2"/>
  <c r="W39" i="2"/>
  <c r="O39" i="2"/>
  <c r="G39" i="2"/>
  <c r="AS39" i="2"/>
  <c r="BB39" i="2"/>
  <c r="AT39" i="2"/>
  <c r="AL39" i="2"/>
  <c r="AD39" i="2"/>
  <c r="V39" i="2"/>
  <c r="N39" i="2"/>
  <c r="F39" i="2"/>
  <c r="AC39" i="2"/>
  <c r="D39" i="2" l="1"/>
  <c r="B41" i="2"/>
  <c r="C41" i="2" s="1"/>
  <c r="AX40" i="2"/>
  <c r="AP40" i="2"/>
  <c r="AH40" i="2"/>
  <c r="Z40" i="2"/>
  <c r="R40" i="2"/>
  <c r="J40" i="2"/>
  <c r="AI40" i="2"/>
  <c r="AW40" i="2"/>
  <c r="AO40" i="2"/>
  <c r="AG40" i="2"/>
  <c r="Y40" i="2"/>
  <c r="Q40" i="2"/>
  <c r="I40" i="2"/>
  <c r="K40" i="2"/>
  <c r="AV40" i="2"/>
  <c r="AN40" i="2"/>
  <c r="AF40" i="2"/>
  <c r="X40" i="2"/>
  <c r="P40" i="2"/>
  <c r="H40" i="2"/>
  <c r="AU40" i="2"/>
  <c r="AM40" i="2"/>
  <c r="AE40" i="2"/>
  <c r="W40" i="2"/>
  <c r="O40" i="2"/>
  <c r="G40" i="2"/>
  <c r="AA40" i="2"/>
  <c r="BB40" i="2"/>
  <c r="AT40" i="2"/>
  <c r="AL40" i="2"/>
  <c r="AD40" i="2"/>
  <c r="V40" i="2"/>
  <c r="N40" i="2"/>
  <c r="F40" i="2"/>
  <c r="AQ40" i="2"/>
  <c r="BA40" i="2"/>
  <c r="AS40" i="2"/>
  <c r="AK40" i="2"/>
  <c r="AC40" i="2"/>
  <c r="U40" i="2"/>
  <c r="M40" i="2"/>
  <c r="E40" i="2"/>
  <c r="AY40" i="2"/>
  <c r="AZ40" i="2"/>
  <c r="AR40" i="2"/>
  <c r="AJ40" i="2"/>
  <c r="AB40" i="2"/>
  <c r="T40" i="2"/>
  <c r="L40" i="2"/>
  <c r="S40" i="2"/>
  <c r="D40" i="2" l="1"/>
  <c r="B42" i="2"/>
  <c r="C42" i="2" s="1"/>
  <c r="AV41" i="2"/>
  <c r="AN41" i="2"/>
  <c r="AF41" i="2"/>
  <c r="X41" i="2"/>
  <c r="P41" i="2"/>
  <c r="H41" i="2"/>
  <c r="AG41" i="2"/>
  <c r="AU41" i="2"/>
  <c r="AM41" i="2"/>
  <c r="AE41" i="2"/>
  <c r="W41" i="2"/>
  <c r="O41" i="2"/>
  <c r="G41" i="2"/>
  <c r="I41" i="2"/>
  <c r="BB41" i="2"/>
  <c r="AT41" i="2"/>
  <c r="AL41" i="2"/>
  <c r="AD41" i="2"/>
  <c r="V41" i="2"/>
  <c r="N41" i="2"/>
  <c r="F41" i="2"/>
  <c r="Q41" i="2"/>
  <c r="BA41" i="2"/>
  <c r="AS41" i="2"/>
  <c r="AK41" i="2"/>
  <c r="AC41" i="2"/>
  <c r="U41" i="2"/>
  <c r="M41" i="2"/>
  <c r="E41" i="2"/>
  <c r="AO41" i="2"/>
  <c r="AZ41" i="2"/>
  <c r="AR41" i="2"/>
  <c r="AJ41" i="2"/>
  <c r="AB41" i="2"/>
  <c r="T41" i="2"/>
  <c r="L41" i="2"/>
  <c r="AY41" i="2"/>
  <c r="AQ41" i="2"/>
  <c r="AI41" i="2"/>
  <c r="AA41" i="2"/>
  <c r="S41" i="2"/>
  <c r="K41" i="2"/>
  <c r="AW41" i="2"/>
  <c r="AX41" i="2"/>
  <c r="AP41" i="2"/>
  <c r="AH41" i="2"/>
  <c r="Z41" i="2"/>
  <c r="R41" i="2"/>
  <c r="J41" i="2"/>
  <c r="Y41" i="2"/>
  <c r="D41" i="2" l="1"/>
  <c r="B43" i="2"/>
  <c r="C43" i="2" s="1"/>
  <c r="BB42" i="2"/>
  <c r="AT42" i="2"/>
  <c r="AL42" i="2"/>
  <c r="AD42" i="2"/>
  <c r="V42" i="2"/>
  <c r="N42" i="2"/>
  <c r="F42" i="2"/>
  <c r="AM42" i="2"/>
  <c r="BA42" i="2"/>
  <c r="AS42" i="2"/>
  <c r="AK42" i="2"/>
  <c r="AC42" i="2"/>
  <c r="U42" i="2"/>
  <c r="M42" i="2"/>
  <c r="E42" i="2"/>
  <c r="G42" i="2"/>
  <c r="AZ42" i="2"/>
  <c r="AR42" i="2"/>
  <c r="AJ42" i="2"/>
  <c r="AB42" i="2"/>
  <c r="T42" i="2"/>
  <c r="L42" i="2"/>
  <c r="O42" i="2"/>
  <c r="AY42" i="2"/>
  <c r="AQ42" i="2"/>
  <c r="AI42" i="2"/>
  <c r="AA42" i="2"/>
  <c r="S42" i="2"/>
  <c r="K42" i="2"/>
  <c r="AX42" i="2"/>
  <c r="AP42" i="2"/>
  <c r="AH42" i="2"/>
  <c r="Z42" i="2"/>
  <c r="R42" i="2"/>
  <c r="J42" i="2"/>
  <c r="W42" i="2"/>
  <c r="AW42" i="2"/>
  <c r="AO42" i="2"/>
  <c r="AG42" i="2"/>
  <c r="Y42" i="2"/>
  <c r="Q42" i="2"/>
  <c r="I42" i="2"/>
  <c r="AU42" i="2"/>
  <c r="AV42" i="2"/>
  <c r="AN42" i="2"/>
  <c r="AF42" i="2"/>
  <c r="X42" i="2"/>
  <c r="P42" i="2"/>
  <c r="H42" i="2"/>
  <c r="AE42" i="2"/>
  <c r="D42" i="2" l="1"/>
  <c r="B44" i="2"/>
  <c r="C44" i="2" s="1"/>
  <c r="AZ43" i="2"/>
  <c r="AR43" i="2"/>
  <c r="AJ43" i="2"/>
  <c r="AB43" i="2"/>
  <c r="T43" i="2"/>
  <c r="L43" i="2"/>
  <c r="AS43" i="2"/>
  <c r="AY43" i="2"/>
  <c r="AQ43" i="2"/>
  <c r="AI43" i="2"/>
  <c r="AA43" i="2"/>
  <c r="S43" i="2"/>
  <c r="K43" i="2"/>
  <c r="M43" i="2"/>
  <c r="AX43" i="2"/>
  <c r="AP43" i="2"/>
  <c r="AH43" i="2"/>
  <c r="Z43" i="2"/>
  <c r="R43" i="2"/>
  <c r="J43" i="2"/>
  <c r="U43" i="2"/>
  <c r="AW43" i="2"/>
  <c r="AO43" i="2"/>
  <c r="AG43" i="2"/>
  <c r="Y43" i="2"/>
  <c r="Q43" i="2"/>
  <c r="I43" i="2"/>
  <c r="E43" i="2"/>
  <c r="AV43" i="2"/>
  <c r="AN43" i="2"/>
  <c r="AF43" i="2"/>
  <c r="X43" i="2"/>
  <c r="P43" i="2"/>
  <c r="H43" i="2"/>
  <c r="AC43" i="2"/>
  <c r="AU43" i="2"/>
  <c r="AM43" i="2"/>
  <c r="AE43" i="2"/>
  <c r="W43" i="2"/>
  <c r="O43" i="2"/>
  <c r="G43" i="2"/>
  <c r="BA43" i="2"/>
  <c r="BB43" i="2"/>
  <c r="AT43" i="2"/>
  <c r="AL43" i="2"/>
  <c r="AD43" i="2"/>
  <c r="V43" i="2"/>
  <c r="N43" i="2"/>
  <c r="F43" i="2"/>
  <c r="AK43" i="2"/>
  <c r="D43" i="2" l="1"/>
  <c r="B45" i="2"/>
  <c r="C45" i="2" s="1"/>
  <c r="AX44" i="2"/>
  <c r="AP44" i="2"/>
  <c r="AH44" i="2"/>
  <c r="Z44" i="2"/>
  <c r="R44" i="2"/>
  <c r="J44" i="2"/>
  <c r="AY44" i="2"/>
  <c r="AW44" i="2"/>
  <c r="AO44" i="2"/>
  <c r="AG44" i="2"/>
  <c r="Y44" i="2"/>
  <c r="Q44" i="2"/>
  <c r="I44" i="2"/>
  <c r="K44" i="2"/>
  <c r="AV44" i="2"/>
  <c r="AN44" i="2"/>
  <c r="AF44" i="2"/>
  <c r="X44" i="2"/>
  <c r="P44" i="2"/>
  <c r="H44" i="2"/>
  <c r="S44" i="2"/>
  <c r="AU44" i="2"/>
  <c r="AM44" i="2"/>
  <c r="AE44" i="2"/>
  <c r="W44" i="2"/>
  <c r="O44" i="2"/>
  <c r="G44" i="2"/>
  <c r="AA44" i="2"/>
  <c r="BB44" i="2"/>
  <c r="AT44" i="2"/>
  <c r="AL44" i="2"/>
  <c r="AD44" i="2"/>
  <c r="V44" i="2"/>
  <c r="N44" i="2"/>
  <c r="F44" i="2"/>
  <c r="AQ44" i="2"/>
  <c r="BA44" i="2"/>
  <c r="AS44" i="2"/>
  <c r="AK44" i="2"/>
  <c r="AC44" i="2"/>
  <c r="U44" i="2"/>
  <c r="M44" i="2"/>
  <c r="E44" i="2"/>
  <c r="AZ44" i="2"/>
  <c r="AR44" i="2"/>
  <c r="AJ44" i="2"/>
  <c r="AB44" i="2"/>
  <c r="T44" i="2"/>
  <c r="L44" i="2"/>
  <c r="AI44" i="2"/>
  <c r="D44" i="2" l="1"/>
  <c r="B46" i="2"/>
  <c r="C46" i="2" s="1"/>
  <c r="AV45" i="2"/>
  <c r="AN45" i="2"/>
  <c r="AF45" i="2"/>
  <c r="X45" i="2"/>
  <c r="P45" i="2"/>
  <c r="H45" i="2"/>
  <c r="AW45" i="2"/>
  <c r="AU45" i="2"/>
  <c r="AM45" i="2"/>
  <c r="AE45" i="2"/>
  <c r="W45" i="2"/>
  <c r="O45" i="2"/>
  <c r="G45" i="2"/>
  <c r="I45" i="2"/>
  <c r="BB45" i="2"/>
  <c r="AT45" i="2"/>
  <c r="AL45" i="2"/>
  <c r="AD45" i="2"/>
  <c r="V45" i="2"/>
  <c r="N45" i="2"/>
  <c r="F45" i="2"/>
  <c r="AG45" i="2"/>
  <c r="BA45" i="2"/>
  <c r="AS45" i="2"/>
  <c r="AK45" i="2"/>
  <c r="AC45" i="2"/>
  <c r="U45" i="2"/>
  <c r="M45" i="2"/>
  <c r="E45" i="2"/>
  <c r="Y45" i="2"/>
  <c r="AZ45" i="2"/>
  <c r="AR45" i="2"/>
  <c r="AJ45" i="2"/>
  <c r="AB45" i="2"/>
  <c r="T45" i="2"/>
  <c r="L45" i="2"/>
  <c r="AY45" i="2"/>
  <c r="AQ45" i="2"/>
  <c r="AI45" i="2"/>
  <c r="AA45" i="2"/>
  <c r="S45" i="2"/>
  <c r="K45" i="2"/>
  <c r="Q45" i="2"/>
  <c r="AX45" i="2"/>
  <c r="AP45" i="2"/>
  <c r="AH45" i="2"/>
  <c r="Z45" i="2"/>
  <c r="R45" i="2"/>
  <c r="J45" i="2"/>
  <c r="AO45" i="2"/>
  <c r="D45" i="2" l="1"/>
  <c r="B47" i="2"/>
  <c r="C47" i="2" s="1"/>
  <c r="BB46" i="2"/>
  <c r="AT46" i="2"/>
  <c r="AL46" i="2"/>
  <c r="AD46" i="2"/>
  <c r="V46" i="2"/>
  <c r="N46" i="2"/>
  <c r="F46" i="2"/>
  <c r="BA46" i="2"/>
  <c r="AS46" i="2"/>
  <c r="AK46" i="2"/>
  <c r="AC46" i="2"/>
  <c r="U46" i="2"/>
  <c r="M46" i="2"/>
  <c r="E46" i="2"/>
  <c r="G46" i="2"/>
  <c r="AZ46" i="2"/>
  <c r="AR46" i="2"/>
  <c r="AJ46" i="2"/>
  <c r="AB46" i="2"/>
  <c r="T46" i="2"/>
  <c r="L46" i="2"/>
  <c r="AM46" i="2"/>
  <c r="AY46" i="2"/>
  <c r="AQ46" i="2"/>
  <c r="AI46" i="2"/>
  <c r="AA46" i="2"/>
  <c r="S46" i="2"/>
  <c r="K46" i="2"/>
  <c r="W46" i="2"/>
  <c r="AX46" i="2"/>
  <c r="AP46" i="2"/>
  <c r="AH46" i="2"/>
  <c r="Z46" i="2"/>
  <c r="R46" i="2"/>
  <c r="J46" i="2"/>
  <c r="AE46" i="2"/>
  <c r="AW46" i="2"/>
  <c r="AO46" i="2"/>
  <c r="AG46" i="2"/>
  <c r="Y46" i="2"/>
  <c r="Q46" i="2"/>
  <c r="I46" i="2"/>
  <c r="O46" i="2"/>
  <c r="AV46" i="2"/>
  <c r="AN46" i="2"/>
  <c r="AF46" i="2"/>
  <c r="X46" i="2"/>
  <c r="P46" i="2"/>
  <c r="H46" i="2"/>
  <c r="AU46" i="2"/>
  <c r="D46" i="2" l="1"/>
  <c r="B48" i="2"/>
  <c r="C48" i="2" s="1"/>
  <c r="AZ47" i="2"/>
  <c r="AR47" i="2"/>
  <c r="AJ47" i="2"/>
  <c r="AB47" i="2"/>
  <c r="T47" i="2"/>
  <c r="L47" i="2"/>
  <c r="M47" i="2"/>
  <c r="AY47" i="2"/>
  <c r="AQ47" i="2"/>
  <c r="AI47" i="2"/>
  <c r="AA47" i="2"/>
  <c r="S47" i="2"/>
  <c r="K47" i="2"/>
  <c r="AC47" i="2"/>
  <c r="E47" i="2"/>
  <c r="AX47" i="2"/>
  <c r="AP47" i="2"/>
  <c r="AH47" i="2"/>
  <c r="Z47" i="2"/>
  <c r="R47" i="2"/>
  <c r="J47" i="2"/>
  <c r="AS47" i="2"/>
  <c r="AW47" i="2"/>
  <c r="AO47" i="2"/>
  <c r="AG47" i="2"/>
  <c r="Y47" i="2"/>
  <c r="Q47" i="2"/>
  <c r="I47" i="2"/>
  <c r="BA47" i="2"/>
  <c r="AV47" i="2"/>
  <c r="AN47" i="2"/>
  <c r="AF47" i="2"/>
  <c r="X47" i="2"/>
  <c r="P47" i="2"/>
  <c r="H47" i="2"/>
  <c r="AU47" i="2"/>
  <c r="AM47" i="2"/>
  <c r="AE47" i="2"/>
  <c r="W47" i="2"/>
  <c r="O47" i="2"/>
  <c r="G47" i="2"/>
  <c r="AK47" i="2"/>
  <c r="BB47" i="2"/>
  <c r="AT47" i="2"/>
  <c r="AL47" i="2"/>
  <c r="AD47" i="2"/>
  <c r="V47" i="2"/>
  <c r="N47" i="2"/>
  <c r="F47" i="2"/>
  <c r="U47" i="2"/>
  <c r="D47" i="2" l="1"/>
  <c r="B49" i="2"/>
  <c r="C49" i="2" s="1"/>
  <c r="AX48" i="2"/>
  <c r="AP48" i="2"/>
  <c r="AH48" i="2"/>
  <c r="Z48" i="2"/>
  <c r="R48" i="2"/>
  <c r="J48" i="2"/>
  <c r="AY48" i="2"/>
  <c r="AW48" i="2"/>
  <c r="AO48" i="2"/>
  <c r="AG48" i="2"/>
  <c r="Y48" i="2"/>
  <c r="Q48" i="2"/>
  <c r="I48" i="2"/>
  <c r="K48" i="2"/>
  <c r="AV48" i="2"/>
  <c r="AN48" i="2"/>
  <c r="AF48" i="2"/>
  <c r="X48" i="2"/>
  <c r="P48" i="2"/>
  <c r="H48" i="2"/>
  <c r="AI48" i="2"/>
  <c r="AU48" i="2"/>
  <c r="AM48" i="2"/>
  <c r="AE48" i="2"/>
  <c r="W48" i="2"/>
  <c r="O48" i="2"/>
  <c r="G48" i="2"/>
  <c r="AQ48" i="2"/>
  <c r="BB48" i="2"/>
  <c r="AT48" i="2"/>
  <c r="AL48" i="2"/>
  <c r="AD48" i="2"/>
  <c r="V48" i="2"/>
  <c r="N48" i="2"/>
  <c r="F48" i="2"/>
  <c r="S48" i="2"/>
  <c r="BA48" i="2"/>
  <c r="AS48" i="2"/>
  <c r="AK48" i="2"/>
  <c r="AC48" i="2"/>
  <c r="U48" i="2"/>
  <c r="M48" i="2"/>
  <c r="E48" i="2"/>
  <c r="AZ48" i="2"/>
  <c r="AR48" i="2"/>
  <c r="AJ48" i="2"/>
  <c r="AB48" i="2"/>
  <c r="T48" i="2"/>
  <c r="L48" i="2"/>
  <c r="AA48" i="2"/>
  <c r="D48" i="2" l="1"/>
  <c r="B50" i="2"/>
  <c r="C50" i="2" s="1"/>
  <c r="AV49" i="2"/>
  <c r="AN49" i="2"/>
  <c r="AF49" i="2"/>
  <c r="X49" i="2"/>
  <c r="P49" i="2"/>
  <c r="H49" i="2"/>
  <c r="AU49" i="2"/>
  <c r="AM49" i="2"/>
  <c r="AE49" i="2"/>
  <c r="W49" i="2"/>
  <c r="O49" i="2"/>
  <c r="G49" i="2"/>
  <c r="AO49" i="2"/>
  <c r="AG49" i="2"/>
  <c r="Q49" i="2"/>
  <c r="BB49" i="2"/>
  <c r="AT49" i="2"/>
  <c r="AL49" i="2"/>
  <c r="AD49" i="2"/>
  <c r="V49" i="2"/>
  <c r="N49" i="2"/>
  <c r="F49" i="2"/>
  <c r="BA49" i="2"/>
  <c r="AS49" i="2"/>
  <c r="AK49" i="2"/>
  <c r="AC49" i="2"/>
  <c r="U49" i="2"/>
  <c r="M49" i="2"/>
  <c r="E49" i="2"/>
  <c r="AZ49" i="2"/>
  <c r="AR49" i="2"/>
  <c r="AJ49" i="2"/>
  <c r="AB49" i="2"/>
  <c r="T49" i="2"/>
  <c r="L49" i="2"/>
  <c r="AY49" i="2"/>
  <c r="AQ49" i="2"/>
  <c r="AI49" i="2"/>
  <c r="AA49" i="2"/>
  <c r="S49" i="2"/>
  <c r="K49" i="2"/>
  <c r="I49" i="2"/>
  <c r="AX49" i="2"/>
  <c r="AP49" i="2"/>
  <c r="AH49" i="2"/>
  <c r="Z49" i="2"/>
  <c r="R49" i="2"/>
  <c r="J49" i="2"/>
  <c r="AW49" i="2"/>
  <c r="Y49" i="2"/>
  <c r="D49" i="2" l="1"/>
  <c r="B51" i="2"/>
  <c r="C51" i="2" s="1"/>
  <c r="BA50" i="2"/>
  <c r="AZ50" i="2"/>
  <c r="AY50" i="2"/>
  <c r="AX50" i="2"/>
  <c r="AW50" i="2"/>
  <c r="AT50" i="2"/>
  <c r="AL50" i="2"/>
  <c r="AD50" i="2"/>
  <c r="V50" i="2"/>
  <c r="N50" i="2"/>
  <c r="F50" i="2"/>
  <c r="W50" i="2"/>
  <c r="AS50" i="2"/>
  <c r="AK50" i="2"/>
  <c r="AC50" i="2"/>
  <c r="U50" i="2"/>
  <c r="M50" i="2"/>
  <c r="E50" i="2"/>
  <c r="AU50" i="2"/>
  <c r="AR50" i="2"/>
  <c r="AJ50" i="2"/>
  <c r="AB50" i="2"/>
  <c r="T50" i="2"/>
  <c r="L50" i="2"/>
  <c r="G50" i="2"/>
  <c r="AQ50" i="2"/>
  <c r="AI50" i="2"/>
  <c r="AA50" i="2"/>
  <c r="S50" i="2"/>
  <c r="K50" i="2"/>
  <c r="O50" i="2"/>
  <c r="AP50" i="2"/>
  <c r="AH50" i="2"/>
  <c r="Z50" i="2"/>
  <c r="R50" i="2"/>
  <c r="J50" i="2"/>
  <c r="AM50" i="2"/>
  <c r="BB50" i="2"/>
  <c r="AO50" i="2"/>
  <c r="AG50" i="2"/>
  <c r="Y50" i="2"/>
  <c r="Q50" i="2"/>
  <c r="I50" i="2"/>
  <c r="AE50" i="2"/>
  <c r="AV50" i="2"/>
  <c r="AN50" i="2"/>
  <c r="AF50" i="2"/>
  <c r="X50" i="2"/>
  <c r="P50" i="2"/>
  <c r="H50" i="2"/>
  <c r="D50" i="2" l="1"/>
  <c r="B52" i="2"/>
  <c r="C52" i="2" s="1"/>
  <c r="BA51" i="2"/>
  <c r="AS51" i="2"/>
  <c r="AK51" i="2"/>
  <c r="AC51" i="2"/>
  <c r="U51" i="2"/>
  <c r="M51" i="2"/>
  <c r="E51" i="2"/>
  <c r="AY51" i="2"/>
  <c r="AQ51" i="2"/>
  <c r="AI51" i="2"/>
  <c r="AA51" i="2"/>
  <c r="S51" i="2"/>
  <c r="K51" i="2"/>
  <c r="AX51" i="2"/>
  <c r="AP51" i="2"/>
  <c r="AH51" i="2"/>
  <c r="Z51" i="2"/>
  <c r="R51" i="2"/>
  <c r="J51" i="2"/>
  <c r="AW51" i="2"/>
  <c r="AO51" i="2"/>
  <c r="AG51" i="2"/>
  <c r="Y51" i="2"/>
  <c r="Q51" i="2"/>
  <c r="I51" i="2"/>
  <c r="AV51" i="2"/>
  <c r="AN51" i="2"/>
  <c r="AF51" i="2"/>
  <c r="X51" i="2"/>
  <c r="P51" i="2"/>
  <c r="H51" i="2"/>
  <c r="AU51" i="2"/>
  <c r="AM51" i="2"/>
  <c r="AE51" i="2"/>
  <c r="W51" i="2"/>
  <c r="O51" i="2"/>
  <c r="G51" i="2"/>
  <c r="BB51" i="2"/>
  <c r="V51" i="2"/>
  <c r="AZ51" i="2"/>
  <c r="T51" i="2"/>
  <c r="AT51" i="2"/>
  <c r="N51" i="2"/>
  <c r="AR51" i="2"/>
  <c r="L51" i="2"/>
  <c r="AL51" i="2"/>
  <c r="F51" i="2"/>
  <c r="AJ51" i="2"/>
  <c r="AD51" i="2"/>
  <c r="AB51" i="2"/>
  <c r="D51" i="2" l="1"/>
  <c r="B53" i="2"/>
  <c r="C53" i="2" s="1"/>
  <c r="AY52" i="2"/>
  <c r="AQ52" i="2"/>
  <c r="AI52" i="2"/>
  <c r="AA52" i="2"/>
  <c r="S52" i="2"/>
  <c r="K52" i="2"/>
  <c r="AW52" i="2"/>
  <c r="AO52" i="2"/>
  <c r="AG52" i="2"/>
  <c r="Y52" i="2"/>
  <c r="Q52" i="2"/>
  <c r="I52" i="2"/>
  <c r="AV52" i="2"/>
  <c r="AN52" i="2"/>
  <c r="AF52" i="2"/>
  <c r="X52" i="2"/>
  <c r="P52" i="2"/>
  <c r="H52" i="2"/>
  <c r="AU52" i="2"/>
  <c r="AM52" i="2"/>
  <c r="AE52" i="2"/>
  <c r="W52" i="2"/>
  <c r="O52" i="2"/>
  <c r="G52" i="2"/>
  <c r="BB52" i="2"/>
  <c r="AT52" i="2"/>
  <c r="AL52" i="2"/>
  <c r="AD52" i="2"/>
  <c r="V52" i="2"/>
  <c r="N52" i="2"/>
  <c r="F52" i="2"/>
  <c r="BA52" i="2"/>
  <c r="AS52" i="2"/>
  <c r="AK52" i="2"/>
  <c r="AC52" i="2"/>
  <c r="U52" i="2"/>
  <c r="M52" i="2"/>
  <c r="E52" i="2"/>
  <c r="AJ52" i="2"/>
  <c r="AH52" i="2"/>
  <c r="AB52" i="2"/>
  <c r="AP52" i="2"/>
  <c r="Z52" i="2"/>
  <c r="J52" i="2"/>
  <c r="AZ52" i="2"/>
  <c r="T52" i="2"/>
  <c r="AX52" i="2"/>
  <c r="R52" i="2"/>
  <c r="AR52" i="2"/>
  <c r="L52" i="2"/>
  <c r="D52" i="2" l="1"/>
  <c r="B54" i="2"/>
  <c r="C54" i="2" s="1"/>
  <c r="AW53" i="2"/>
  <c r="AO53" i="2"/>
  <c r="AG53" i="2"/>
  <c r="Y53" i="2"/>
  <c r="Q53" i="2"/>
  <c r="I53" i="2"/>
  <c r="AU53" i="2"/>
  <c r="AM53" i="2"/>
  <c r="AE53" i="2"/>
  <c r="W53" i="2"/>
  <c r="O53" i="2"/>
  <c r="G53" i="2"/>
  <c r="BB53" i="2"/>
  <c r="AT53" i="2"/>
  <c r="AL53" i="2"/>
  <c r="AD53" i="2"/>
  <c r="V53" i="2"/>
  <c r="N53" i="2"/>
  <c r="F53" i="2"/>
  <c r="BA53" i="2"/>
  <c r="AS53" i="2"/>
  <c r="AK53" i="2"/>
  <c r="AC53" i="2"/>
  <c r="U53" i="2"/>
  <c r="M53" i="2"/>
  <c r="E53" i="2"/>
  <c r="AZ53" i="2"/>
  <c r="AR53" i="2"/>
  <c r="AJ53" i="2"/>
  <c r="AB53" i="2"/>
  <c r="T53" i="2"/>
  <c r="L53" i="2"/>
  <c r="AY53" i="2"/>
  <c r="AQ53" i="2"/>
  <c r="AI53" i="2"/>
  <c r="AA53" i="2"/>
  <c r="S53" i="2"/>
  <c r="K53" i="2"/>
  <c r="AX53" i="2"/>
  <c r="R53" i="2"/>
  <c r="X53" i="2"/>
  <c r="AV53" i="2"/>
  <c r="P53" i="2"/>
  <c r="AP53" i="2"/>
  <c r="J53" i="2"/>
  <c r="AN53" i="2"/>
  <c r="H53" i="2"/>
  <c r="AH53" i="2"/>
  <c r="AF53" i="2"/>
  <c r="Z53" i="2"/>
  <c r="D53" i="2" l="1"/>
  <c r="B55" i="2"/>
  <c r="C55" i="2" s="1"/>
  <c r="AU54" i="2"/>
  <c r="AM54" i="2"/>
  <c r="AE54" i="2"/>
  <c r="W54" i="2"/>
  <c r="O54" i="2"/>
  <c r="G54" i="2"/>
  <c r="BA54" i="2"/>
  <c r="AS54" i="2"/>
  <c r="AK54" i="2"/>
  <c r="AC54" i="2"/>
  <c r="U54" i="2"/>
  <c r="M54" i="2"/>
  <c r="E54" i="2"/>
  <c r="AZ54" i="2"/>
  <c r="AR54" i="2"/>
  <c r="AJ54" i="2"/>
  <c r="AB54" i="2"/>
  <c r="T54" i="2"/>
  <c r="L54" i="2"/>
  <c r="AY54" i="2"/>
  <c r="AQ54" i="2"/>
  <c r="AI54" i="2"/>
  <c r="AA54" i="2"/>
  <c r="S54" i="2"/>
  <c r="K54" i="2"/>
  <c r="AX54" i="2"/>
  <c r="AP54" i="2"/>
  <c r="AH54" i="2"/>
  <c r="Z54" i="2"/>
  <c r="R54" i="2"/>
  <c r="J54" i="2"/>
  <c r="AW54" i="2"/>
  <c r="AO54" i="2"/>
  <c r="AG54" i="2"/>
  <c r="Y54" i="2"/>
  <c r="Q54" i="2"/>
  <c r="I54" i="2"/>
  <c r="AF54" i="2"/>
  <c r="AD54" i="2"/>
  <c r="AL54" i="2"/>
  <c r="X54" i="2"/>
  <c r="BB54" i="2"/>
  <c r="V54" i="2"/>
  <c r="AV54" i="2"/>
  <c r="P54" i="2"/>
  <c r="AT54" i="2"/>
  <c r="N54" i="2"/>
  <c r="F54" i="2"/>
  <c r="AN54" i="2"/>
  <c r="H54" i="2"/>
  <c r="D54" i="2" l="1"/>
  <c r="B56" i="2"/>
  <c r="C56" i="2" s="1"/>
  <c r="BA55" i="2"/>
  <c r="AS55" i="2"/>
  <c r="AK55" i="2"/>
  <c r="AC55" i="2"/>
  <c r="U55" i="2"/>
  <c r="M55" i="2"/>
  <c r="E55" i="2"/>
  <c r="AY55" i="2"/>
  <c r="AQ55" i="2"/>
  <c r="AI55" i="2"/>
  <c r="AA55" i="2"/>
  <c r="S55" i="2"/>
  <c r="K55" i="2"/>
  <c r="AX55" i="2"/>
  <c r="AP55" i="2"/>
  <c r="AH55" i="2"/>
  <c r="Z55" i="2"/>
  <c r="R55" i="2"/>
  <c r="J55" i="2"/>
  <c r="AW55" i="2"/>
  <c r="AO55" i="2"/>
  <c r="AG55" i="2"/>
  <c r="Y55" i="2"/>
  <c r="Q55" i="2"/>
  <c r="I55" i="2"/>
  <c r="AV55" i="2"/>
  <c r="AN55" i="2"/>
  <c r="AF55" i="2"/>
  <c r="X55" i="2"/>
  <c r="P55" i="2"/>
  <c r="H55" i="2"/>
  <c r="AU55" i="2"/>
  <c r="AM55" i="2"/>
  <c r="AE55" i="2"/>
  <c r="W55" i="2"/>
  <c r="O55" i="2"/>
  <c r="G55" i="2"/>
  <c r="AT55" i="2"/>
  <c r="N55" i="2"/>
  <c r="AR55" i="2"/>
  <c r="L55" i="2"/>
  <c r="AL55" i="2"/>
  <c r="F55" i="2"/>
  <c r="AZ55" i="2"/>
  <c r="AJ55" i="2"/>
  <c r="AD55" i="2"/>
  <c r="AB55" i="2"/>
  <c r="BB55" i="2"/>
  <c r="V55" i="2"/>
  <c r="T55" i="2"/>
  <c r="D55" i="2" l="1"/>
  <c r="B57" i="2"/>
  <c r="C57" i="2" s="1"/>
  <c r="AY56" i="2"/>
  <c r="AQ56" i="2"/>
  <c r="AI56" i="2"/>
  <c r="AA56" i="2"/>
  <c r="S56" i="2"/>
  <c r="K56" i="2"/>
  <c r="AW56" i="2"/>
  <c r="AO56" i="2"/>
  <c r="AG56" i="2"/>
  <c r="Y56" i="2"/>
  <c r="Q56" i="2"/>
  <c r="I56" i="2"/>
  <c r="AV56" i="2"/>
  <c r="AN56" i="2"/>
  <c r="AF56" i="2"/>
  <c r="X56" i="2"/>
  <c r="P56" i="2"/>
  <c r="H56" i="2"/>
  <c r="AU56" i="2"/>
  <c r="AM56" i="2"/>
  <c r="AE56" i="2"/>
  <c r="W56" i="2"/>
  <c r="O56" i="2"/>
  <c r="G56" i="2"/>
  <c r="BB56" i="2"/>
  <c r="AT56" i="2"/>
  <c r="AL56" i="2"/>
  <c r="AD56" i="2"/>
  <c r="V56" i="2"/>
  <c r="N56" i="2"/>
  <c r="F56" i="2"/>
  <c r="BA56" i="2"/>
  <c r="AS56" i="2"/>
  <c r="AK56" i="2"/>
  <c r="AC56" i="2"/>
  <c r="U56" i="2"/>
  <c r="M56" i="2"/>
  <c r="E56" i="2"/>
  <c r="AB56" i="2"/>
  <c r="Z56" i="2"/>
  <c r="AZ56" i="2"/>
  <c r="T56" i="2"/>
  <c r="AX56" i="2"/>
  <c r="R56" i="2"/>
  <c r="AH56" i="2"/>
  <c r="AR56" i="2"/>
  <c r="L56" i="2"/>
  <c r="AP56" i="2"/>
  <c r="J56" i="2"/>
  <c r="AJ56" i="2"/>
  <c r="D56" i="2" l="1"/>
  <c r="B58" i="2"/>
  <c r="C58" i="2" s="1"/>
  <c r="AW57" i="2"/>
  <c r="AO57" i="2"/>
  <c r="AG57" i="2"/>
  <c r="Y57" i="2"/>
  <c r="Q57" i="2"/>
  <c r="I57" i="2"/>
  <c r="AU57" i="2"/>
  <c r="AM57" i="2"/>
  <c r="AE57" i="2"/>
  <c r="W57" i="2"/>
  <c r="O57" i="2"/>
  <c r="G57" i="2"/>
  <c r="BB57" i="2"/>
  <c r="AT57" i="2"/>
  <c r="AL57" i="2"/>
  <c r="AD57" i="2"/>
  <c r="V57" i="2"/>
  <c r="N57" i="2"/>
  <c r="F57" i="2"/>
  <c r="BA57" i="2"/>
  <c r="AS57" i="2"/>
  <c r="AK57" i="2"/>
  <c r="AC57" i="2"/>
  <c r="U57" i="2"/>
  <c r="M57" i="2"/>
  <c r="E57" i="2"/>
  <c r="AZ57" i="2"/>
  <c r="AR57" i="2"/>
  <c r="AJ57" i="2"/>
  <c r="AB57" i="2"/>
  <c r="T57" i="2"/>
  <c r="L57" i="2"/>
  <c r="AY57" i="2"/>
  <c r="AQ57" i="2"/>
  <c r="AI57" i="2"/>
  <c r="AA57" i="2"/>
  <c r="S57" i="2"/>
  <c r="K57" i="2"/>
  <c r="AP57" i="2"/>
  <c r="J57" i="2"/>
  <c r="P57" i="2"/>
  <c r="AN57" i="2"/>
  <c r="H57" i="2"/>
  <c r="AH57" i="2"/>
  <c r="AF57" i="2"/>
  <c r="Z57" i="2"/>
  <c r="X57" i="2"/>
  <c r="AV57" i="2"/>
  <c r="AX57" i="2"/>
  <c r="R57" i="2"/>
  <c r="D57" i="2" l="1"/>
  <c r="B59" i="2"/>
  <c r="C59" i="2" s="1"/>
  <c r="AU58" i="2"/>
  <c r="AM58" i="2"/>
  <c r="AE58" i="2"/>
  <c r="W58" i="2"/>
  <c r="O58" i="2"/>
  <c r="G58" i="2"/>
  <c r="BA58" i="2"/>
  <c r="AS58" i="2"/>
  <c r="AK58" i="2"/>
  <c r="AC58" i="2"/>
  <c r="U58" i="2"/>
  <c r="M58" i="2"/>
  <c r="E58" i="2"/>
  <c r="AZ58" i="2"/>
  <c r="AR58" i="2"/>
  <c r="AJ58" i="2"/>
  <c r="AB58" i="2"/>
  <c r="T58" i="2"/>
  <c r="L58" i="2"/>
  <c r="AY58" i="2"/>
  <c r="AQ58" i="2"/>
  <c r="AI58" i="2"/>
  <c r="AA58" i="2"/>
  <c r="S58" i="2"/>
  <c r="K58" i="2"/>
  <c r="AX58" i="2"/>
  <c r="AP58" i="2"/>
  <c r="AH58" i="2"/>
  <c r="Z58" i="2"/>
  <c r="R58" i="2"/>
  <c r="J58" i="2"/>
  <c r="AW58" i="2"/>
  <c r="AO58" i="2"/>
  <c r="AG58" i="2"/>
  <c r="Y58" i="2"/>
  <c r="Q58" i="2"/>
  <c r="I58" i="2"/>
  <c r="X58" i="2"/>
  <c r="BB58" i="2"/>
  <c r="V58" i="2"/>
  <c r="AV58" i="2"/>
  <c r="P58" i="2"/>
  <c r="AT58" i="2"/>
  <c r="N58" i="2"/>
  <c r="AN58" i="2"/>
  <c r="H58" i="2"/>
  <c r="AL58" i="2"/>
  <c r="F58" i="2"/>
  <c r="AF58" i="2"/>
  <c r="AD58" i="2"/>
  <c r="D58" i="2" l="1"/>
  <c r="B60" i="2"/>
  <c r="C60" i="2" s="1"/>
  <c r="BA59" i="2"/>
  <c r="AS59" i="2"/>
  <c r="AK59" i="2"/>
  <c r="AC59" i="2"/>
  <c r="U59" i="2"/>
  <c r="M59" i="2"/>
  <c r="E59" i="2"/>
  <c r="AY59" i="2"/>
  <c r="AQ59" i="2"/>
  <c r="AI59" i="2"/>
  <c r="AA59" i="2"/>
  <c r="S59" i="2"/>
  <c r="K59" i="2"/>
  <c r="AX59" i="2"/>
  <c r="AP59" i="2"/>
  <c r="AH59" i="2"/>
  <c r="Z59" i="2"/>
  <c r="R59" i="2"/>
  <c r="J59" i="2"/>
  <c r="AW59" i="2"/>
  <c r="AO59" i="2"/>
  <c r="AG59" i="2"/>
  <c r="Y59" i="2"/>
  <c r="Q59" i="2"/>
  <c r="I59" i="2"/>
  <c r="AV59" i="2"/>
  <c r="AN59" i="2"/>
  <c r="AF59" i="2"/>
  <c r="X59" i="2"/>
  <c r="P59" i="2"/>
  <c r="H59" i="2"/>
  <c r="AU59" i="2"/>
  <c r="AM59" i="2"/>
  <c r="AE59" i="2"/>
  <c r="W59" i="2"/>
  <c r="O59" i="2"/>
  <c r="G59" i="2"/>
  <c r="AL59" i="2"/>
  <c r="F59" i="2"/>
  <c r="AJ59" i="2"/>
  <c r="L59" i="2"/>
  <c r="AD59" i="2"/>
  <c r="AR59" i="2"/>
  <c r="AB59" i="2"/>
  <c r="BB59" i="2"/>
  <c r="V59" i="2"/>
  <c r="AZ59" i="2"/>
  <c r="T59" i="2"/>
  <c r="AT59" i="2"/>
  <c r="N59" i="2"/>
  <c r="D59" i="2" l="1"/>
  <c r="AY60" i="2"/>
  <c r="AQ60" i="2"/>
  <c r="AI60" i="2"/>
  <c r="AA60" i="2"/>
  <c r="S60" i="2"/>
  <c r="K60" i="2"/>
  <c r="AW60" i="2"/>
  <c r="AO60" i="2"/>
  <c r="AG60" i="2"/>
  <c r="Y60" i="2"/>
  <c r="Q60" i="2"/>
  <c r="I60" i="2"/>
  <c r="AV60" i="2"/>
  <c r="AN60" i="2"/>
  <c r="AF60" i="2"/>
  <c r="X60" i="2"/>
  <c r="P60" i="2"/>
  <c r="H60" i="2"/>
  <c r="AU60" i="2"/>
  <c r="AM60" i="2"/>
  <c r="AE60" i="2"/>
  <c r="W60" i="2"/>
  <c r="O60" i="2"/>
  <c r="G60" i="2"/>
  <c r="BB60" i="2"/>
  <c r="AT60" i="2"/>
  <c r="AL60" i="2"/>
  <c r="AD60" i="2"/>
  <c r="V60" i="2"/>
  <c r="N60" i="2"/>
  <c r="F60" i="2"/>
  <c r="BA60" i="2"/>
  <c r="AS60" i="2"/>
  <c r="AK60" i="2"/>
  <c r="AC60" i="2"/>
  <c r="U60" i="2"/>
  <c r="M60" i="2"/>
  <c r="E60" i="2"/>
  <c r="AZ60" i="2"/>
  <c r="T60" i="2"/>
  <c r="Z60" i="2"/>
  <c r="AX60" i="2"/>
  <c r="R60" i="2"/>
  <c r="AR60" i="2"/>
  <c r="L60" i="2"/>
  <c r="AP60" i="2"/>
  <c r="J60" i="2"/>
  <c r="AJ60" i="2"/>
  <c r="AH60" i="2"/>
  <c r="AB60" i="2"/>
  <c r="D6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<sst xmlns="http://schemas.openxmlformats.org/spreadsheetml/2006/main" count="9" uniqueCount="9">
  <si>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Int Points</t>
  </si>
  <si>
    <t>PD</t>
  </si>
  <si>
    <t>Rho</t>
  </si>
  <si>
    <t xml:space="preserve">Size </t>
  </si>
  <si>
    <t>Correlated</t>
  </si>
  <si>
    <t>Independent</t>
  </si>
  <si>
    <t>Z</t>
  </si>
  <si>
    <t>weight</t>
  </si>
  <si>
    <t>PD|Z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</si>
</sst>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6" formatCode="&quot;$&quot;#,##0_);\(&quot;$&quot;#,##0\)"/>
    <numFmt numFmtId="167" formatCode="&quot;$&quot;#,##0.00_);[Red]\(&quot;$&quot;#,##0.00\)"/>
    <numFmt numFmtId="168" formatCode="_(&quot;$&quot;* #,##0.00_);_(&quot;$&quot;* \(#,##0.00\);_(&quot;$&quot;* &quot;-&quot;??_);_(@_)"/>
    <numFmt numFmtId="170" formatCode="0.000%"/>
    <numFmt numFmtId="171" formatCode="[$-409]d\-mmm\-yy;@"/>
    <numFmt numFmtId="172" formatCode="#,##0.00&quot; kr&quot;;[Red]&quot;-&quot;#,##0.00&quot; kr&quot;"/>
    <numFmt numFmtId="173" formatCode="_ * #,##0.00_ ;_ * \-#,##0.00_ ;_ * &quot;-&quot;??_ ;_ @_ "/>
    <numFmt numFmtId="174" formatCode="_ * #,##0_ ;_ * \-#,##0_ ;_ * &quot;-&quot;_ ;_ @_ "/>
    <numFmt numFmtId="175" formatCode="&quot;$&quot;#.##"/>
    <numFmt numFmtId="176" formatCode="&quot;$&quot;#,##0\ ;\(&quot;$&quot;#,##0\)"/>
    <numFmt numFmtId="177" formatCode="0.00_)"/>
    <numFmt numFmtId="178" formatCode="#,##0_ ;[Red]\-#,##0\ "/>
    <numFmt numFmtId="179" formatCode="#,##0.0;#,##0.0"/>
    <numFmt numFmtId="180" formatCode="\+#,##0.00;\-#,##0.00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23"/>
      <name val="Calibri"/>
      <family val="2"/>
    </font>
    <font>
      <i/>
      <sz val="10"/>
      <color rgb="FF969696"/>
      <name val="Tahoma"/>
      <family val="2"/>
    </font>
    <font>
      <b/>
      <sz val="10"/>
      <color theme="0"/>
      <name val="Tahoma"/>
      <family val="2"/>
    </font>
    <font>
      <sz val="10"/>
      <name val="Geneva"/>
    </font>
    <font>
      <sz val="10"/>
      <name val="Geneva"/>
      <family val="2"/>
    </font>
    <font>
      <sz val="11"/>
      <name val="??"/>
      <family val="1"/>
      <charset val="128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1"/>
      <color indexed="9"/>
      <name val="Calibri"/>
      <family val="2"/>
    </font>
    <font>
      <sz val="12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6.5"/>
      <name val="News Gothic"/>
      <family val="2"/>
    </font>
    <font>
      <sz val="8"/>
      <name val="Arial"/>
      <family val="2"/>
      <charset val="162"/>
    </font>
    <font>
      <b/>
      <sz val="12"/>
      <name val="Arial"/>
      <family val="2"/>
      <charset val="16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sz val="10"/>
      <color indexed="8"/>
      <name val="Tahoma"/>
      <family val="2"/>
    </font>
    <font>
      <i/>
      <sz val="8"/>
      <color theme="0" tint="-0.34998626667073579"/>
      <name val="Tahoma"/>
      <family val="2"/>
    </font>
    <font>
      <b/>
      <sz val="11"/>
      <color rgb="FF003C69"/>
      <name val="Tahoma"/>
      <family val="2"/>
    </font>
    <font>
      <b/>
      <sz val="11"/>
      <color rgb="FF6699CC"/>
      <name val="Tahoma"/>
      <family val="2"/>
    </font>
    <font>
      <sz val="18"/>
      <color rgb="FF7AB800"/>
      <name val="Tahoma"/>
      <family val="2"/>
    </font>
    <font>
      <sz val="18"/>
      <color theme="0"/>
      <name val="Tahom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rgb="FFDFEAF4"/>
        <bgColor indexed="64"/>
      </patternFill>
    </fill>
    <fill>
      <patternFill patternType="solid">
        <fgColor rgb="FFDEF6FE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rgb="FFC0C0C0"/>
        <bgColor theme="0"/>
      </patternFill>
    </fill>
    <fill>
      <patternFill patternType="solid">
        <fgColor rgb="FF6699CC"/>
        <bgColor indexed="64"/>
      </patternFill>
    </fill>
    <fill>
      <patternFill patternType="solid">
        <fgColor indexed="8"/>
      </patternFill>
    </fill>
    <fill>
      <patternFill patternType="solid">
        <fgColor rgb="FF4F81BD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EE1"/>
        <bgColor indexed="64"/>
      </patternFill>
    </fill>
    <fill>
      <patternFill patternType="mediumGray">
        <fgColor rgb="FFC0C0C0"/>
        <bgColor theme="2" tint="0.79998168889431442"/>
      </patternFill>
    </fill>
    <fill>
      <patternFill patternType="mediumGray">
        <fgColor rgb="FFC0C0C0"/>
        <bgColor rgb="FFFFFFCC"/>
      </patternFill>
    </fill>
    <fill>
      <patternFill patternType="solid">
        <fgColor rgb="FFE7F7FF"/>
        <bgColor indexed="64"/>
      </patternFill>
    </fill>
    <fill>
      <patternFill patternType="solid">
        <fgColor rgb="FF003C69"/>
        <bgColor indexed="64"/>
      </patternFill>
    </fill>
    <fill>
      <patternFill patternType="mediumGray">
        <fgColor rgb="FFC0C0C0"/>
        <bgColor rgb="FFCCCCFF"/>
      </patternFill>
    </fill>
    <fill>
      <patternFill patternType="solid">
        <fgColor rgb="FFFFF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</fills>
  <borders count="3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rgb="FFCC0033"/>
      </bottom>
      <diagonal/>
    </border>
    <border>
      <left/>
      <right/>
      <top/>
      <bottom style="hair">
        <color theme="0" tint="-0.34998626667073579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double">
        <color indexed="64"/>
      </top>
      <bottom/>
      <diagonal/>
    </border>
  </borders>
  <cellStyleXfs count="959">
    <xf numFmtId="0" fontId="0" fillId="0" borderId="0"/>
    <xf numFmtId="0" fontId="2" fillId="15" borderId="0"/>
    <xf numFmtId="43" fontId="2" fillId="0" borderId="0" applyFont="0" applyFill="0" applyBorder="0" applyAlignment="0" applyProtection="0"/>
    <xf numFmtId="0" fontId="2" fillId="15" borderId="0"/>
    <xf numFmtId="0" fontId="3" fillId="16" borderId="2" applyNumberFormat="0" applyBorder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5" fillId="19" borderId="2" applyNumberFormat="0" applyBorder="0" applyAlignment="0">
      <alignment horizontal="right"/>
    </xf>
    <xf numFmtId="0" fontId="6" fillId="20" borderId="5" applyNumberFormat="0" applyAlignment="0">
      <alignment horizontal="center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72" fontId="8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9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" fontId="10" fillId="0" borderId="0"/>
    <xf numFmtId="0" fontId="11" fillId="21" borderId="0" applyAlignment="0"/>
    <xf numFmtId="0" fontId="12" fillId="22" borderId="0"/>
    <xf numFmtId="0" fontId="13" fillId="0" borderId="0" applyNumberFormat="0" applyFill="0" applyBorder="0" applyAlignment="0" applyProtection="0"/>
    <xf numFmtId="0" fontId="7" fillId="0" borderId="6" applyNumberFormat="0" applyFont="0" applyFill="0" applyAlignment="0" applyProtection="0"/>
    <xf numFmtId="0" fontId="7" fillId="0" borderId="7" applyNumberFormat="0" applyFont="0" applyFill="0" applyAlignment="0" applyProtection="0"/>
    <xf numFmtId="0" fontId="7" fillId="0" borderId="8" applyNumberFormat="0" applyFont="0" applyFill="0" applyAlignment="0" applyProtection="0"/>
    <xf numFmtId="0" fontId="7" fillId="0" borderId="9" applyNumberFormat="0" applyFont="0" applyFill="0" applyAlignment="0" applyProtection="0"/>
    <xf numFmtId="175" fontId="8" fillId="0" borderId="0" applyFill="0" applyBorder="0" applyAlignment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14" fillId="0" borderId="0" applyNumberFormat="0" applyAlignment="0">
      <alignment horizontal="left"/>
    </xf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5" fillId="0" borderId="0" applyNumberFormat="0" applyAlignment="0">
      <alignment horizontal="left"/>
    </xf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16" fillId="0" borderId="0">
      <alignment horizontal="left"/>
    </xf>
    <xf numFmtId="38" fontId="17" fillId="23" borderId="0" applyNumberFormat="0" applyBorder="0" applyAlignment="0" applyProtection="0"/>
    <xf numFmtId="0" fontId="18" fillId="0" borderId="10" applyNumberFormat="0" applyAlignment="0" applyProtection="0">
      <alignment horizontal="left" vertical="center"/>
    </xf>
    <xf numFmtId="0" fontId="18" fillId="0" borderId="11">
      <alignment horizontal="left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2" fillId="24" borderId="0" applyNumberFormat="0" applyBorder="0">
      <alignment horizontal="right" vertical="center"/>
    </xf>
    <xf numFmtId="19" fontId="22" fillId="24" borderId="12" applyNumberFormat="0" applyBorder="0">
      <alignment horizontal="left" vertical="center"/>
    </xf>
    <xf numFmtId="2" fontId="23" fillId="25" borderId="0">
      <alignment horizontal="center" vertical="center"/>
    </xf>
    <xf numFmtId="2" fontId="23" fillId="25" borderId="13" applyBorder="0">
      <alignment horizontal="left" vertical="center"/>
    </xf>
    <xf numFmtId="0" fontId="22" fillId="24" borderId="0">
      <alignment horizontal="right" vertical="center"/>
    </xf>
    <xf numFmtId="19" fontId="24" fillId="24" borderId="14" applyNumberFormat="0" applyBorder="0">
      <alignment horizontal="left" vertical="center" indent="1"/>
    </xf>
    <xf numFmtId="2" fontId="25" fillId="25" borderId="7" applyBorder="0">
      <alignment horizontal="left" vertical="center" indent="1"/>
    </xf>
    <xf numFmtId="2" fontId="25" fillId="25" borderId="15" applyBorder="0">
      <alignment horizontal="center" vertical="center"/>
    </xf>
    <xf numFmtId="2" fontId="2" fillId="26" borderId="16" applyBorder="0">
      <alignment horizontal="left" vertical="center" indent="1"/>
    </xf>
    <xf numFmtId="0" fontId="2" fillId="26" borderId="0">
      <alignment horizontal="right" vertical="center"/>
    </xf>
    <xf numFmtId="2" fontId="2" fillId="26" borderId="12" applyNumberFormat="0" applyBorder="0">
      <alignment horizontal="right" vertical="center"/>
    </xf>
    <xf numFmtId="2" fontId="26" fillId="27" borderId="14" applyBorder="0">
      <alignment horizontal="left" vertical="center" indent="1"/>
    </xf>
    <xf numFmtId="2" fontId="26" fillId="27" borderId="0">
      <alignment horizontal="right" vertical="center"/>
    </xf>
    <xf numFmtId="2" fontId="26" fillId="27" borderId="13" applyBorder="0">
      <alignment horizontal="left" vertical="center"/>
    </xf>
    <xf numFmtId="2" fontId="26" fillId="27" borderId="17" applyBorder="0">
      <alignment horizontal="center" vertical="center"/>
    </xf>
    <xf numFmtId="19" fontId="24" fillId="28" borderId="18" applyNumberFormat="0" applyBorder="0">
      <alignment horizontal="lef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9" fontId="24" fillId="28" borderId="19" applyNumberFormat="0" applyBorder="0">
      <alignment horizontal="right" vertical="center"/>
    </xf>
    <xf numFmtId="2" fontId="25" fillId="29" borderId="20" applyBorder="0">
      <alignment horizontal="left" vertical="center" indent="1"/>
    </xf>
    <xf numFmtId="2" fontId="25" fillId="29" borderId="13" applyNumberFormat="0">
      <alignment horizontal="center" vertical="center"/>
    </xf>
    <xf numFmtId="2" fontId="25" fillId="29" borderId="13" applyNumberFormat="0" applyBorder="0">
      <alignment horizontal="left" vertical="center"/>
    </xf>
    <xf numFmtId="2" fontId="2" fillId="30" borderId="19" applyNumberFormat="0" applyBorder="0">
      <alignment horizontal="right" vertical="center"/>
    </xf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177" fontId="27" fillId="0" borderId="0"/>
    <xf numFmtId="0" fontId="1" fillId="31" borderId="0"/>
    <xf numFmtId="0" fontId="2" fillId="15" borderId="0"/>
    <xf numFmtId="0" fontId="1" fillId="31" borderId="0"/>
    <xf numFmtId="0" fontId="28" fillId="32" borderId="0"/>
    <xf numFmtId="0" fontId="1" fillId="0" borderId="0"/>
    <xf numFmtId="0" fontId="2" fillId="0" borderId="0" applyBorder="0"/>
    <xf numFmtId="0" fontId="1" fillId="0" borderId="0"/>
    <xf numFmtId="0" fontId="1" fillId="0" borderId="0"/>
    <xf numFmtId="0" fontId="1" fillId="0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8" fillId="0" borderId="0"/>
    <xf numFmtId="0" fontId="2" fillId="15" borderId="0"/>
    <xf numFmtId="0" fontId="28" fillId="32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2" fillId="15" borderId="0"/>
    <xf numFmtId="0" fontId="2" fillId="15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Border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29" fillId="33" borderId="21" applyNumberFormat="0" applyBorder="0">
      <alignment horizontal="left" vertical="center"/>
    </xf>
    <xf numFmtId="2" fontId="29" fillId="33" borderId="13" applyNumberFormat="0" applyBorder="0">
      <alignment horizontal="left" vertical="center"/>
    </xf>
    <xf numFmtId="2" fontId="26" fillId="27" borderId="22" applyNumberFormat="0" applyBorder="0">
      <alignment horizontal="left" vertical="center"/>
    </xf>
    <xf numFmtId="2" fontId="26" fillId="27" borderId="13" applyNumberFormat="0" applyBorder="0">
      <alignment horizontal="left" vertical="center"/>
    </xf>
    <xf numFmtId="19" fontId="2" fillId="34" borderId="23" applyNumberFormat="0" applyBorder="0">
      <alignment horizontal="left" vertical="center" indent="1"/>
    </xf>
    <xf numFmtId="0" fontId="2" fillId="34" borderId="0">
      <alignment horizontal="right" vertical="center"/>
    </xf>
    <xf numFmtId="19" fontId="2" fillId="34" borderId="19" applyNumberFormat="0" applyBorder="0">
      <alignment horizontal="right" vertical="center"/>
    </xf>
    <xf numFmtId="2" fontId="30" fillId="35" borderId="7" applyBorder="0">
      <alignment horizontal="left" vertical="center" indent="1"/>
    </xf>
    <xf numFmtId="2" fontId="30" fillId="35" borderId="0">
      <alignment horizontal="center" vertical="center"/>
    </xf>
    <xf numFmtId="2" fontId="30" fillId="35" borderId="24">
      <alignment horizontal="left" vertical="center"/>
    </xf>
    <xf numFmtId="0" fontId="31" fillId="36" borderId="17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32" fillId="37" borderId="0" applyNumberFormat="0" applyBorder="0">
      <alignment horizontal="right" vertical="center"/>
    </xf>
    <xf numFmtId="170" fontId="32" fillId="37" borderId="0" applyNumberFormat="0" applyBorder="0">
      <alignment horizontal="right" vertical="center"/>
    </xf>
    <xf numFmtId="0" fontId="33" fillId="38" borderId="17" applyNumberFormat="0">
      <alignment horizontal="center" vertical="center"/>
    </xf>
    <xf numFmtId="0" fontId="33" fillId="38" borderId="0" applyNumberFormat="0" applyBorder="0">
      <alignment horizontal="left" vertical="center" indent="1"/>
    </xf>
    <xf numFmtId="0" fontId="3" fillId="18" borderId="25" applyNumberFormat="0" applyBorder="0" applyAlignment="0">
      <alignment horizontal="center"/>
    </xf>
    <xf numFmtId="0" fontId="3" fillId="39" borderId="25" applyNumberFormat="0" applyBorder="0" applyAlignment="0">
      <alignment horizontal="center"/>
    </xf>
    <xf numFmtId="0" fontId="3" fillId="40" borderId="2" applyNumberFormat="0" applyBorder="0"/>
    <xf numFmtId="0" fontId="3" fillId="16" borderId="2" applyNumberFormat="0" applyBorder="0"/>
    <xf numFmtId="0" fontId="3" fillId="41" borderId="3" applyNumberFormat="0" applyBorder="0" applyAlignment="0"/>
    <xf numFmtId="0" fontId="3" fillId="42" borderId="3" applyNumberFormat="0" applyBorder="0" applyAlignment="0"/>
    <xf numFmtId="0" fontId="3" fillId="41" borderId="3" applyNumberFormat="0" applyBorder="0" applyAlignment="0"/>
    <xf numFmtId="171" fontId="5" fillId="19" borderId="2" applyNumberFormat="0" applyBorder="0" applyAlignment="0">
      <alignment horizontal="right"/>
    </xf>
    <xf numFmtId="171" fontId="5" fillId="19" borderId="2" applyNumberFormat="0" applyBorder="0" applyAlignment="0">
      <alignment horizontal="right"/>
    </xf>
    <xf numFmtId="178" fontId="3" fillId="43" borderId="4" applyNumberFormat="0" applyBorder="0" applyAlignment="0"/>
    <xf numFmtId="178" fontId="3" fillId="17" borderId="4" applyNumberFormat="0" applyBorder="0" applyAlignment="0"/>
    <xf numFmtId="0" fontId="6" fillId="44" borderId="5" applyNumberFormat="0" applyAlignment="0">
      <alignment horizontal="center" vertical="center"/>
    </xf>
    <xf numFmtId="178" fontId="34" fillId="45" borderId="26" applyNumberFormat="0" applyBorder="0" applyAlignment="0">
      <alignment horizontal="right"/>
    </xf>
    <xf numFmtId="0" fontId="35" fillId="46" borderId="27">
      <alignment horizontal="right"/>
    </xf>
    <xf numFmtId="0" fontId="36" fillId="18" borderId="28"/>
    <xf numFmtId="0" fontId="37" fillId="46" borderId="27"/>
    <xf numFmtId="0" fontId="38" fillId="44" borderId="29">
      <alignment vertical="center"/>
    </xf>
    <xf numFmtId="0" fontId="39" fillId="20" borderId="30">
      <alignment horizontal="right" vertical="center"/>
    </xf>
    <xf numFmtId="179" fontId="40" fillId="47" borderId="0">
      <alignment horizontal="center" vertical="center"/>
    </xf>
    <xf numFmtId="180" fontId="41" fillId="48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2" fontId="42" fillId="49" borderId="21" applyNumberFormat="0" applyFill="0" applyBorder="0" applyAlignment="0">
      <alignment horizontal="center"/>
      <protection locked="0"/>
    </xf>
    <xf numFmtId="2" fontId="2" fillId="50" borderId="13" applyNumberFormat="0" applyBorder="0">
      <alignment horizontal="right" vertical="center"/>
    </xf>
    <xf numFmtId="2" fontId="2" fillId="50" borderId="0">
      <alignment horizontal="right" vertical="center"/>
    </xf>
    <xf numFmtId="2" fontId="26" fillId="51" borderId="17">
      <alignment horizontal="center" vertical="center"/>
    </xf>
    <xf numFmtId="2" fontId="26" fillId="51" borderId="0" applyNumberFormat="0" applyBorder="0">
      <alignment horizontal="left" vertical="center"/>
    </xf>
    <xf numFmtId="2" fontId="26" fillId="51" borderId="17">
      <alignment horizontal="center" vertical="center"/>
    </xf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38" fontId="43" fillId="0" borderId="0" applyFont="0" applyFill="0" applyBorder="0" applyAlignment="0" applyProtection="0"/>
    <xf numFmtId="0" fontId="43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</cellXfs>
  <cellStyles count="959">
    <cellStyle name="$" xfId="9" xr:uid="{3CE8790F-BA25-4554-83CD-EE121BD67DDA}"/>
    <cellStyle name="$ &amp; ¢" xfId="10" xr:uid="{4D5E41E1-A4B1-4152-8C97-633A9346FFA9}"/>
    <cellStyle name="%" xfId="11" xr:uid="{014FA260-8058-4D85-824E-BCF3A9E3C947}"/>
    <cellStyle name="%.00" xfId="12" xr:uid="{799BC619-72F4-4A52-AAA1-52DC081E847F}"/>
    <cellStyle name="?? [0.00]_PLDT" xfId="13" xr:uid="{76AFF397-E5FA-4767-BD67-10ECC3F0E46E}"/>
    <cellStyle name="???? [0.00]_PLDT" xfId="14" xr:uid="{33805939-2471-4C28-B084-12F138829CB6}"/>
    <cellStyle name="????_PLDT" xfId="15" xr:uid="{97F1EA54-DEBE-410E-9413-1BD2A061CF1F}"/>
    <cellStyle name="??_10-08" xfId="16" xr:uid="{079798D3-5A61-4E88-A3C7-E6070BED7307}"/>
    <cellStyle name="_Copy of Portfolios to Archeus 6-3-04 (2)" xfId="17" xr:uid="{C4430732-76A4-4522-89C8-E9D11FAC5AEC}"/>
    <cellStyle name="_Copy of Portfolios to Archeus 6-3-04 (2) 10" xfId="18" xr:uid="{A23D9001-1A86-4456-84F4-6502C2A12668}"/>
    <cellStyle name="_Copy of Portfolios to Archeus 6-3-04 (2) 10 10" xfId="19" xr:uid="{4A501FFE-A4BC-4B8C-B2B8-A4D286882C08}"/>
    <cellStyle name="_Copy of Portfolios to Archeus 6-3-04 (2) 10 11" xfId="20" xr:uid="{C3F28CB4-5C97-470C-862A-32AF169CD9B3}"/>
    <cellStyle name="_Copy of Portfolios to Archeus 6-3-04 (2) 10 12" xfId="21" xr:uid="{21FE56C2-266B-493D-ADB6-B629FCBBB435}"/>
    <cellStyle name="_Copy of Portfolios to Archeus 6-3-04 (2) 10 13" xfId="22" xr:uid="{85B70B35-5115-48E4-B597-A33D699F9FB3}"/>
    <cellStyle name="_Copy of Portfolios to Archeus 6-3-04 (2) 10 14" xfId="23" xr:uid="{465CF4ED-7B45-40EB-B721-611C090E95DF}"/>
    <cellStyle name="_Copy of Portfolios to Archeus 6-3-04 (2) 10 15" xfId="24" xr:uid="{58CAB82D-AD5B-4E70-AD10-1BA9089B58D6}"/>
    <cellStyle name="_Copy of Portfolios to Archeus 6-3-04 (2) 10 16" xfId="25" xr:uid="{10C9581A-840B-40FB-8069-0F804023D3BA}"/>
    <cellStyle name="_Copy of Portfolios to Archeus 6-3-04 (2) 10 17" xfId="26" xr:uid="{AB841326-8293-4BF1-884B-3F8BD75F30D1}"/>
    <cellStyle name="_Copy of Portfolios to Archeus 6-3-04 (2) 10 18" xfId="27" xr:uid="{847DAD7D-EC80-4A98-B3D4-95F9C3E2DDE1}"/>
    <cellStyle name="_Copy of Portfolios to Archeus 6-3-04 (2) 10 19" xfId="28" xr:uid="{B7E54334-FCB9-40F4-9375-EDE0E5C90ECB}"/>
    <cellStyle name="_Copy of Portfolios to Archeus 6-3-04 (2) 10 2" xfId="29" xr:uid="{30A46E59-6B28-4877-A40F-8A727F766B7E}"/>
    <cellStyle name="_Copy of Portfolios to Archeus 6-3-04 (2) 10 20" xfId="30" xr:uid="{F3A0676F-3102-43B0-8384-2B4542A04E34}"/>
    <cellStyle name="_Copy of Portfolios to Archeus 6-3-04 (2) 10 21" xfId="31" xr:uid="{E0CF1036-7048-4182-9B44-DF0400027B40}"/>
    <cellStyle name="_Copy of Portfolios to Archeus 6-3-04 (2) 10 22" xfId="32" xr:uid="{6CD7C153-8303-4332-9635-02865F62EEDA}"/>
    <cellStyle name="_Copy of Portfolios to Archeus 6-3-04 (2) 10 23" xfId="33" xr:uid="{8152F1DA-8983-44F3-AADC-FDCAA716D044}"/>
    <cellStyle name="_Copy of Portfolios to Archeus 6-3-04 (2) 10 24" xfId="34" xr:uid="{9238F5CD-5D58-4226-9A48-11992B6EF674}"/>
    <cellStyle name="_Copy of Portfolios to Archeus 6-3-04 (2) 10 25" xfId="35" xr:uid="{07E8F376-9EC9-4DD3-8799-FE583FACD97D}"/>
    <cellStyle name="_Copy of Portfolios to Archeus 6-3-04 (2) 10 26" xfId="36" xr:uid="{29ED0056-2052-4CF3-BAFD-2D5A4920E81E}"/>
    <cellStyle name="_Copy of Portfolios to Archeus 6-3-04 (2) 10 3" xfId="37" xr:uid="{83DED408-76C9-4182-8C0F-88F3BDBCE95A}"/>
    <cellStyle name="_Copy of Portfolios to Archeus 6-3-04 (2) 10 4" xfId="38" xr:uid="{21AEAEFE-DBEC-45C2-AB76-573D2C93E92A}"/>
    <cellStyle name="_Copy of Portfolios to Archeus 6-3-04 (2) 10 5" xfId="39" xr:uid="{A1371957-3240-41BA-BC7B-61F40A0D99A9}"/>
    <cellStyle name="_Copy of Portfolios to Archeus 6-3-04 (2) 10 6" xfId="40" xr:uid="{08582DFE-CB87-46CF-9576-D0FF90AA697A}"/>
    <cellStyle name="_Copy of Portfolios to Archeus 6-3-04 (2) 10 7" xfId="41" xr:uid="{4229D43E-90F3-45E4-A3DC-7C19CF65932A}"/>
    <cellStyle name="_Copy of Portfolios to Archeus 6-3-04 (2) 10 8" xfId="42" xr:uid="{C4088116-1EA6-49D4-918B-50F515D7EA21}"/>
    <cellStyle name="_Copy of Portfolios to Archeus 6-3-04 (2) 10 9" xfId="43" xr:uid="{4581F300-AF48-418F-8838-49514522BC93}"/>
    <cellStyle name="_Copy of Portfolios to Archeus 6-3-04 (2) 11" xfId="44" xr:uid="{36828F4F-B60E-4743-8042-C45C78DA86D7}"/>
    <cellStyle name="_Copy of Portfolios to Archeus 6-3-04 (2) 11 2" xfId="45" xr:uid="{A676EA74-87E8-4831-A980-24F834E430B1}"/>
    <cellStyle name="_Copy of Portfolios to Archeus 6-3-04 (2) 11 3" xfId="46" xr:uid="{6FABB5DA-52F7-4574-BD85-1098F180F986}"/>
    <cellStyle name="_Copy of Portfolios to Archeus 6-3-04 (2) 11 4" xfId="47" xr:uid="{D0D2C777-6E16-4766-85FF-AC4246DFBE85}"/>
    <cellStyle name="_Copy of Portfolios to Archeus 6-3-04 (2) 11 5" xfId="48" xr:uid="{0B3C11E7-3301-4DA2-8491-81D23EA425DA}"/>
    <cellStyle name="_Copy of Portfolios to Archeus 6-3-04 (2) 11 6" xfId="49" xr:uid="{5097807D-7502-4669-8FC8-89BBEBAB978C}"/>
    <cellStyle name="_Copy of Portfolios to Archeus 6-3-04 (2) 11 7" xfId="50" xr:uid="{3222C657-D5B9-45C9-BEDE-F07AAA410092}"/>
    <cellStyle name="_Copy of Portfolios to Archeus 6-3-04 (2) 12" xfId="51" xr:uid="{0D13FAB9-EB6D-4A14-A6F4-5959ACF59AB6}"/>
    <cellStyle name="_Copy of Portfolios to Archeus 6-3-04 (2) 12 2" xfId="52" xr:uid="{4324AF23-A2EE-4C20-A8A1-FCE2E0668152}"/>
    <cellStyle name="_Copy of Portfolios to Archeus 6-3-04 (2) 12 2 2" xfId="53" xr:uid="{183DB836-9550-4C29-B4A7-E91093E174A6}"/>
    <cellStyle name="_Copy of Portfolios to Archeus 6-3-04 (2) 12 3" xfId="54" xr:uid="{A7222720-B17D-4A2C-BE88-4583C466D6A2}"/>
    <cellStyle name="_Copy of Portfolios to Archeus 6-3-04 (2) 12 3 2" xfId="55" xr:uid="{33AF8F6D-9416-4C1A-AF77-972721ED47EA}"/>
    <cellStyle name="_Copy of Portfolios to Archeus 6-3-04 (2) 12 4" xfId="56" xr:uid="{CB9023B1-DADF-4977-97FB-48EE8A9A45C6}"/>
    <cellStyle name="_Copy of Portfolios to Archeus 6-3-04 (2) 13" xfId="57" xr:uid="{413AAD11-0D75-4E63-AC53-8D8FC58A7EB9}"/>
    <cellStyle name="_Copy of Portfolios to Archeus 6-3-04 (2) 13 2" xfId="58" xr:uid="{4E31007D-9FAB-4E03-B6FD-5E9D08BA9910}"/>
    <cellStyle name="_Copy of Portfolios to Archeus 6-3-04 (2) 14" xfId="59" xr:uid="{2CAB37D8-5FD1-4D7B-B79C-12FFA0A621A2}"/>
    <cellStyle name="_Copy of Portfolios to Archeus 6-3-04 (2) 14 2" xfId="60" xr:uid="{376C4CD8-851B-4AF1-AF84-6C5D42DB5814}"/>
    <cellStyle name="_Copy of Portfolios to Archeus 6-3-04 (2) 15" xfId="61" xr:uid="{18642598-33A6-47CD-B179-6243A038833D}"/>
    <cellStyle name="_Copy of Portfolios to Archeus 6-3-04 (2) 15 2" xfId="62" xr:uid="{FE1DEDE7-C811-41FA-9697-4F0AF447FB3F}"/>
    <cellStyle name="_Copy of Portfolios to Archeus 6-3-04 (2) 16" xfId="63" xr:uid="{BF410B00-EF01-4ADF-98BF-A35C8B3E6114}"/>
    <cellStyle name="_Copy of Portfolios to Archeus 6-3-04 (2) 16 2" xfId="64" xr:uid="{D6752A52-5ED1-42A9-8F5F-6F0C0991B591}"/>
    <cellStyle name="_Copy of Portfolios to Archeus 6-3-04 (2) 17" xfId="65" xr:uid="{A9D18A7E-8FA4-4528-BE94-71DCCD710885}"/>
    <cellStyle name="_Copy of Portfolios to Archeus 6-3-04 (2) 17 2" xfId="66" xr:uid="{3479B2F7-B162-4C77-927F-8B8C6DD8DAA5}"/>
    <cellStyle name="_Copy of Portfolios to Archeus 6-3-04 (2) 18" xfId="67" xr:uid="{27FE58F0-C0AD-43D7-833A-1207E8A56A6E}"/>
    <cellStyle name="_Copy of Portfolios to Archeus 6-3-04 (2) 19" xfId="68" xr:uid="{A8043B5D-AC54-4245-8BDF-B975E1993924}"/>
    <cellStyle name="_Copy of Portfolios to Archeus 6-3-04 (2) 2" xfId="69" xr:uid="{CCD55CFA-4CF1-43BE-B7D3-DC1AF430F3F7}"/>
    <cellStyle name="_Copy of Portfolios to Archeus 6-3-04 (2) 2 2" xfId="70" xr:uid="{A00E9480-706C-46E3-8D67-762D30EC72E5}"/>
    <cellStyle name="_Copy of Portfolios to Archeus 6-3-04 (2) 2 2 2" xfId="71" xr:uid="{66302B8B-36E5-4DF5-B8EA-AE895A82A956}"/>
    <cellStyle name="_Copy of Portfolios to Archeus 6-3-04 (2) 2 3" xfId="72" xr:uid="{4BFF3A21-D56E-479C-9938-B6B85F848714}"/>
    <cellStyle name="_Copy of Portfolios to Archeus 6-3-04 (2) 2 3 2" xfId="73" xr:uid="{51E02DB3-0B58-44DF-8D2F-35FDE851F319}"/>
    <cellStyle name="_Copy of Portfolios to Archeus 6-3-04 (2) 2 4" xfId="74" xr:uid="{63B35D2E-D1A7-4341-9D61-3D5AD99F3BCF}"/>
    <cellStyle name="_Copy of Portfolios to Archeus 6-3-04 (2) 2 4 2" xfId="75" xr:uid="{4066979D-A224-48C0-99DF-F4463C8F6651}"/>
    <cellStyle name="_Copy of Portfolios to Archeus 6-3-04 (2) 2 5" xfId="76" xr:uid="{D42B062E-D7B2-4B2A-96AA-9E925FF6F8DA}"/>
    <cellStyle name="_Copy of Portfolios to Archeus 6-3-04 (2) 2 5 2" xfId="77" xr:uid="{26A0B884-B59D-4082-A5D7-0578E7402293}"/>
    <cellStyle name="_Copy of Portfolios to Archeus 6-3-04 (2) 2 6" xfId="78" xr:uid="{AE00464A-ADE9-4188-926F-2AFE5B9250DC}"/>
    <cellStyle name="_Copy of Portfolios to Archeus 6-3-04 (2) 2 6 2" xfId="79" xr:uid="{E233BA27-00E8-493D-85D9-B3B3E8417F96}"/>
    <cellStyle name="_Copy of Portfolios to Archeus 6-3-04 (2) 2 7" xfId="80" xr:uid="{19BE49A0-8371-485D-B42C-6B3BC3C256BB}"/>
    <cellStyle name="_Copy of Portfolios to Archeus 6-3-04 (2) 2_CDO Pricer (Bespoke Pricing using Base Correlations)" xfId="81" xr:uid="{6B90B6CA-17CE-410B-94DA-20F244AC3B5C}"/>
    <cellStyle name="_Copy of Portfolios to Archeus 6-3-04 (2) 2_CDO Pricer (Bespoke Pricing using Base Correlations) 2" xfId="82" xr:uid="{771FA2E5-5800-46E3-96C4-AFFBA5549082}"/>
    <cellStyle name="_Copy of Portfolios to Archeus 6-3-04 (2) 20" xfId="83" xr:uid="{26AD0851-E24C-4E66-B094-F5ADCD6E99B1}"/>
    <cellStyle name="_Copy of Portfolios to Archeus 6-3-04 (2) 21" xfId="84" xr:uid="{DBA0F89B-7B74-455B-9D38-B1B6C10D998B}"/>
    <cellStyle name="_Copy of Portfolios to Archeus 6-3-04 (2) 22" xfId="85" xr:uid="{8B3FC314-75BA-4C62-B44D-36045574ABED}"/>
    <cellStyle name="_Copy of Portfolios to Archeus 6-3-04 (2) 23" xfId="86" xr:uid="{264419E0-D58B-4409-9853-B103BB5C3A32}"/>
    <cellStyle name="_Copy of Portfolios to Archeus 6-3-04 (2) 24" xfId="87" xr:uid="{D036BE16-9A9A-4F26-8B5F-E0CC76A47180}"/>
    <cellStyle name="_Copy of Portfolios to Archeus 6-3-04 (2) 25" xfId="88" xr:uid="{DC85E03F-A8F6-46A7-A508-A561B45F2097}"/>
    <cellStyle name="_Copy of Portfolios to Archeus 6-3-04 (2) 26" xfId="89" xr:uid="{12487433-9058-4D3E-9BDD-D14E4FE2E79F}"/>
    <cellStyle name="_Copy of Portfolios to Archeus 6-3-04 (2) 27" xfId="90" xr:uid="{DAA02ADB-F88D-400C-993E-A0D674D7A35F}"/>
    <cellStyle name="_Copy of Portfolios to Archeus 6-3-04 (2) 28" xfId="91" xr:uid="{A0A67009-AF03-4F36-8006-607D2B2665AB}"/>
    <cellStyle name="_Copy of Portfolios to Archeus 6-3-04 (2) 29" xfId="92" xr:uid="{388E08CF-D0FD-4989-B3E2-22AD9A15B373}"/>
    <cellStyle name="_Copy of Portfolios to Archeus 6-3-04 (2) 3" xfId="93" xr:uid="{84B7A808-C09E-4241-B346-962FA413272F}"/>
    <cellStyle name="_Copy of Portfolios to Archeus 6-3-04 (2) 3 2" xfId="94" xr:uid="{D819AECD-61F1-4426-8378-E606AC415F9C}"/>
    <cellStyle name="_Copy of Portfolios to Archeus 6-3-04 (2) 30" xfId="95" xr:uid="{7C36178D-ADD6-4753-8EE1-5F0DAFFE5A85}"/>
    <cellStyle name="_Copy of Portfolios to Archeus 6-3-04 (2) 31" xfId="96" xr:uid="{9E2F387B-E770-4065-8DFB-E7B531EA0FBD}"/>
    <cellStyle name="_Copy of Portfolios to Archeus 6-3-04 (2) 31 2" xfId="97" xr:uid="{513384E2-D6AD-4F03-8EBB-24F74EE54062}"/>
    <cellStyle name="_Copy of Portfolios to Archeus 6-3-04 (2) 31 3" xfId="98" xr:uid="{1C5E58E1-6B2D-4FD1-B780-3B21C5F431F9}"/>
    <cellStyle name="_Copy of Portfolios to Archeus 6-3-04 (2) 31 4" xfId="99" xr:uid="{961BA076-3CBB-4094-B294-1EEB21ECB2E8}"/>
    <cellStyle name="_Copy of Portfolios to Archeus 6-3-04 (2) 32" xfId="100" xr:uid="{A441B7C7-B244-4F29-84B7-A8623CAC70B9}"/>
    <cellStyle name="_Copy of Portfolios to Archeus 6-3-04 (2) 32 2" xfId="101" xr:uid="{092BE0AA-A959-44F1-B8F9-78FC079C25B1}"/>
    <cellStyle name="_Copy of Portfolios to Archeus 6-3-04 (2) 32 3" xfId="102" xr:uid="{59165697-F6F2-4C57-B2D8-E25C366C53D8}"/>
    <cellStyle name="_Copy of Portfolios to Archeus 6-3-04 (2) 32 4" xfId="103" xr:uid="{CA677D13-CA50-48F0-8E44-C2B982B83D35}"/>
    <cellStyle name="_Copy of Portfolios to Archeus 6-3-04 (2) 33" xfId="104" xr:uid="{A9DC4199-D33F-478F-BC1E-4D879B56D1AF}"/>
    <cellStyle name="_Copy of Portfolios to Archeus 6-3-04 (2) 33 2" xfId="105" xr:uid="{1B1EE278-C2E9-4568-8CA6-7317AF94D327}"/>
    <cellStyle name="_Copy of Portfolios to Archeus 6-3-04 (2) 33 3" xfId="106" xr:uid="{E13CC098-0403-43A7-9C8E-9EC7F4D1E945}"/>
    <cellStyle name="_Copy of Portfolios to Archeus 6-3-04 (2) 34" xfId="107" xr:uid="{94098850-5133-4679-9F44-A53A2D5923EF}"/>
    <cellStyle name="_Copy of Portfolios to Archeus 6-3-04 (2) 34 2" xfId="108" xr:uid="{CF6CD840-11F3-4220-A9A8-3702CC6FB10F}"/>
    <cellStyle name="_Copy of Portfolios to Archeus 6-3-04 (2) 35" xfId="109" xr:uid="{212E99D8-6AF5-40AA-9E48-B41A37C3A7DA}"/>
    <cellStyle name="_Copy of Portfolios to Archeus 6-3-04 (2) 35 2" xfId="110" xr:uid="{633C221C-E0F4-4F96-84DC-10196BB8C222}"/>
    <cellStyle name="_Copy of Portfolios to Archeus 6-3-04 (2) 36" xfId="111" xr:uid="{B38FA38E-7FD5-442C-AE74-5C881582EA1E}"/>
    <cellStyle name="_Copy of Portfolios to Archeus 6-3-04 (2) 36 2" xfId="112" xr:uid="{D0E5CC48-69DF-4763-9223-847BD9CF9EA1}"/>
    <cellStyle name="_Copy of Portfolios to Archeus 6-3-04 (2) 37" xfId="113" xr:uid="{1F2A10DF-6168-4E94-81A8-7C2C090894C1}"/>
    <cellStyle name="_Copy of Portfolios to Archeus 6-3-04 (2) 38" xfId="114" xr:uid="{5489042E-63CE-4CD0-99EE-084B00B7DC73}"/>
    <cellStyle name="_Copy of Portfolios to Archeus 6-3-04 (2) 39" xfId="115" xr:uid="{DB28203A-D3CF-4987-867B-9DE886209288}"/>
    <cellStyle name="_Copy of Portfolios to Archeus 6-3-04 (2) 4" xfId="116" xr:uid="{973E153A-96D8-4EE0-A6C8-A57412C0C5DD}"/>
    <cellStyle name="_Copy of Portfolios to Archeus 6-3-04 (2) 4 2" xfId="117" xr:uid="{D991A256-009E-4D3D-B62D-A928969788CF}"/>
    <cellStyle name="_Copy of Portfolios to Archeus 6-3-04 (2) 4 2 2" xfId="118" xr:uid="{151BA2F4-B38A-439D-A6A1-129F1D66F6D7}"/>
    <cellStyle name="_Copy of Portfolios to Archeus 6-3-04 (2) 4 3" xfId="119" xr:uid="{C98715A4-8F42-4B6A-90EE-EEC9C222C577}"/>
    <cellStyle name="_Copy of Portfolios to Archeus 6-3-04 (2) 4_CDO Pricer (Bespoke Pricing using Base Correlations)" xfId="120" xr:uid="{1F0E6ED4-AE8C-42D5-BB0D-19C93B9C2DCD}"/>
    <cellStyle name="_Copy of Portfolios to Archeus 6-3-04 (2) 4_CDO Pricer (Bespoke Pricing using Base Correlations) 2" xfId="121" xr:uid="{4CF2AEEC-2DE2-47E8-9759-FDD36091E2A4}"/>
    <cellStyle name="_Copy of Portfolios to Archeus 6-3-04 (2) 4_CDO Pricer (Bespoke Pricing using Base Correlations) 2 2" xfId="122" xr:uid="{F073F36B-BD8A-4DE0-BA21-B003EBA82728}"/>
    <cellStyle name="_Copy of Portfolios to Archeus 6-3-04 (2) 4_CDO Pricer (Bespoke Pricing using Base Correlations) 3" xfId="123" xr:uid="{CF4FFB9C-E533-4448-8506-FFC385B948E7}"/>
    <cellStyle name="_Copy of Portfolios to Archeus 6-3-04 (2) 40" xfId="124" xr:uid="{8469A425-7880-44DC-9FB2-2E99AE55BE56}"/>
    <cellStyle name="_Copy of Portfolios to Archeus 6-3-04 (2) 41" xfId="125" xr:uid="{35D549E4-2BF3-4342-9772-331C219E6EA8}"/>
    <cellStyle name="_Copy of Portfolios to Archeus 6-3-04 (2) 42" xfId="126" xr:uid="{ECE62C9B-42FB-4D85-9F1D-69B71A39C044}"/>
    <cellStyle name="_Copy of Portfolios to Archeus 6-3-04 (2) 43" xfId="127" xr:uid="{1763951B-4002-4FE4-811E-6D651FEDA77A}"/>
    <cellStyle name="_Copy of Portfolios to Archeus 6-3-04 (2) 43 2" xfId="128" xr:uid="{4BEF90D6-1BCB-4FA2-9802-3FEEC9D50591}"/>
    <cellStyle name="_Copy of Portfolios to Archeus 6-3-04 (2) 44" xfId="129" xr:uid="{FDDB85C0-0A71-4579-BF4B-3AEE0C76D9F8}"/>
    <cellStyle name="_Copy of Portfolios to Archeus 6-3-04 (2) 45" xfId="130" xr:uid="{C2958D6B-823F-46B3-9B3A-F387C44D5C54}"/>
    <cellStyle name="_Copy of Portfolios to Archeus 6-3-04 (2) 46" xfId="131" xr:uid="{DCD5A1E0-2EA2-42A3-A04B-96836F7055BA}"/>
    <cellStyle name="_Copy of Portfolios to Archeus 6-3-04 (2) 5" xfId="132" xr:uid="{EC79F6E3-44D8-446C-91EC-7F549E35202D}"/>
    <cellStyle name="_Copy of Portfolios to Archeus 6-3-04 (2) 5 2" xfId="133" xr:uid="{860A91B9-03DB-47C9-916B-01350FEB0471}"/>
    <cellStyle name="_Copy of Portfolios to Archeus 6-3-04 (2) 6" xfId="134" xr:uid="{F5BDCCA2-AD1C-4708-A947-3533810BC157}"/>
    <cellStyle name="_Copy of Portfolios to Archeus 6-3-04 (2) 6 2" xfId="135" xr:uid="{96398E0E-E64C-41A7-BA72-91E341721C8A}"/>
    <cellStyle name="_Copy of Portfolios to Archeus 6-3-04 (2) 7" xfId="136" xr:uid="{3A7CBF52-7701-4960-93F5-94ACD137BD82}"/>
    <cellStyle name="_Copy of Portfolios to Archeus 6-3-04 (2) 7 2" xfId="137" xr:uid="{259618A9-47B6-416B-A61E-AB842801DABE}"/>
    <cellStyle name="_Copy of Portfolios to Archeus 6-3-04 (2) 8" xfId="138" xr:uid="{FA2E672C-5EA2-420B-910A-4A05CE97F99F}"/>
    <cellStyle name="_Copy of Portfolios to Archeus 6-3-04 (2) 8 2" xfId="139" xr:uid="{30EF4A76-02F5-4130-97CA-91F508EDD2B3}"/>
    <cellStyle name="_Copy of Portfolios to Archeus 6-3-04 (2) 9" xfId="140" xr:uid="{B377A4A4-0DBD-48A0-AF34-C521CF882D06}"/>
    <cellStyle name="_Copy of Portfolios to Archeus 6-3-04 (2) 9 2" xfId="141" xr:uid="{E5FCE113-E8B1-4142-9B29-E44A6A43EEFD}"/>
    <cellStyle name="_Copy of Portfolios to Archeus 6-3-04 (2) 9 2 2" xfId="142" xr:uid="{99E4C60B-5E09-4375-B039-5C2937256B55}"/>
    <cellStyle name="_Copy of Portfolios to Archeus 6-3-04 (2) 9 3" xfId="143" xr:uid="{BD877053-2F74-47D4-98E9-0E2C16087D28}"/>
    <cellStyle name="_Copy of Portfolios to Archeus 6-3-04 (2) 9 3 2" xfId="144" xr:uid="{1062F4CA-6744-4BE3-8E8B-FA5024D5B189}"/>
    <cellStyle name="_Copy of Portfolios to Archeus 6-3-04 (2) 9 4" xfId="145" xr:uid="{52BD132E-6B86-4506-8319-11DDD7486AA3}"/>
    <cellStyle name="_Copy of Portfolios to Archeus 6-3-04 (2) 9 4 2" xfId="146" xr:uid="{EE0CAC44-F231-4947-8770-6E89AD932AA7}"/>
    <cellStyle name="_Copy of Portfolios to Archeus 6-3-04 (2) 9 5" xfId="147" xr:uid="{8FEED999-E7FF-4A3F-B064-3472F5EBF48B}"/>
    <cellStyle name="20% - Accent1 2" xfId="148" xr:uid="{44985457-0CEF-4D47-874C-273B7D0A6B8F}"/>
    <cellStyle name="20% - Accent1 2 2" xfId="149" xr:uid="{F2C7E4E0-6AE4-4EB1-B038-B5754C0556CF}"/>
    <cellStyle name="20% - Accent1 3" xfId="150" xr:uid="{661F823C-7560-4299-99FA-4E17DB4CE4A5}"/>
    <cellStyle name="20% - Accent2 2" xfId="151" xr:uid="{7148D98D-218F-4519-80FC-851046EE6CFD}"/>
    <cellStyle name="20% - Accent2 2 2" xfId="152" xr:uid="{2AEBCB39-DB4E-41BF-B97C-11DFE031F038}"/>
    <cellStyle name="20% - Accent2 3" xfId="153" xr:uid="{F1FAC4EB-B3FA-4133-83A8-76EF19549FAF}"/>
    <cellStyle name="20% - Accent3 2" xfId="154" xr:uid="{ED1C7702-D552-4EF3-8AAD-50D5347BFB59}"/>
    <cellStyle name="20% - Accent3 2 2" xfId="155" xr:uid="{94BCDC2B-2D01-4050-8894-1ED096845A21}"/>
    <cellStyle name="20% - Accent3 3" xfId="156" xr:uid="{DB473B84-33B6-4804-BF49-CC2587666480}"/>
    <cellStyle name="20% - Accent4 2" xfId="157" xr:uid="{41CF0907-EBC0-4A3F-A06F-1BA6D84A39CA}"/>
    <cellStyle name="20% - Accent4 2 2" xfId="158" xr:uid="{5B6006B5-1E2A-47CF-9686-3FC01F4B6D9F}"/>
    <cellStyle name="20% - Accent4 3" xfId="159" xr:uid="{2A7BE65C-DFE7-42DC-9BED-24D06C6237A4}"/>
    <cellStyle name="20% - Accent5 2" xfId="160" xr:uid="{C087F433-E75C-4AF8-9F57-C722FF26702F}"/>
    <cellStyle name="20% - Accent5 2 2" xfId="161" xr:uid="{6FF5DAD8-5EE3-4DCB-B111-735B12B4F6FB}"/>
    <cellStyle name="20% - Accent5 3" xfId="162" xr:uid="{E4B0E8A5-29B8-473E-8F81-9700A92D66DC}"/>
    <cellStyle name="20% - Accent6 2" xfId="163" xr:uid="{DF93C90F-BCAB-4093-977F-E079110426DD}"/>
    <cellStyle name="20% - Accent6 2 2" xfId="164" xr:uid="{54CEDA56-E63D-474C-9552-8E3CC39A4B3E}"/>
    <cellStyle name="20% - Accent6 3" xfId="165" xr:uid="{E91C80B2-D95A-44CB-90AC-CA97FF4EE2AF}"/>
    <cellStyle name="40% - Accent1 2" xfId="166" xr:uid="{42ABD7F1-B8F8-4315-A4BE-9E7FBCA2BAE1}"/>
    <cellStyle name="40% - Accent1 2 2" xfId="167" xr:uid="{BBC684C5-1E3D-4CDC-A5EB-9120EF6D55E9}"/>
    <cellStyle name="40% - Accent1 3" xfId="168" xr:uid="{23E391E5-0118-4A3E-B13C-E8911BB3B477}"/>
    <cellStyle name="40% - Accent2 2" xfId="169" xr:uid="{9BB949B8-6395-48B8-8BF4-1B6BFC2856D5}"/>
    <cellStyle name="40% - Accent2 2 2" xfId="170" xr:uid="{DD025136-B77D-4FB4-91C8-FE4C04C2BA35}"/>
    <cellStyle name="40% - Accent2 3" xfId="171" xr:uid="{3E7D57B0-EF76-4C52-AD95-30C066D65CA9}"/>
    <cellStyle name="40% - Accent3 2" xfId="172" xr:uid="{2EBEBB82-A7A1-4982-A3CC-6679272653ED}"/>
    <cellStyle name="40% - Accent3 2 2" xfId="173" xr:uid="{29757AB5-B439-4E04-9C88-CB841B483855}"/>
    <cellStyle name="40% - Accent3 3" xfId="174" xr:uid="{BC7D88D2-0285-4AE2-BCFF-F0AA98948B68}"/>
    <cellStyle name="40% - Accent4 2" xfId="175" xr:uid="{8CB63480-8240-483F-ABA0-475031854DF4}"/>
    <cellStyle name="40% - Accent4 2 2" xfId="176" xr:uid="{5077D94C-DB7A-4791-9990-F38E003845ED}"/>
    <cellStyle name="40% - Accent4 3" xfId="177" xr:uid="{136570C2-36BA-4B16-AE50-82129F97C16B}"/>
    <cellStyle name="40% - Accent5 2" xfId="178" xr:uid="{25FB3B53-8D51-4020-A7C9-C3F21F97580E}"/>
    <cellStyle name="40% - Accent5 2 2" xfId="179" xr:uid="{1D8438AF-BC8B-43F6-B191-A651BE0F1A77}"/>
    <cellStyle name="40% - Accent5 3" xfId="180" xr:uid="{42F5DC9D-34A0-450A-8634-5547AB33DB44}"/>
    <cellStyle name="40% - Accent6 2" xfId="181" xr:uid="{E6D6B878-AB12-4A19-94BA-614BAC989AC6}"/>
    <cellStyle name="40% - Accent6 2 2" xfId="182" xr:uid="{16755E3B-D41C-42FE-BD65-25C32B7D4B21}"/>
    <cellStyle name="40% - Accent6 3" xfId="183" xr:uid="{610E1CFB-AAB2-40AB-8F89-BEA26354FC06}"/>
    <cellStyle name="adam" xfId="184" xr:uid="{215B383E-8140-4FF0-B0C8-0F971B8C51EE}"/>
    <cellStyle name="back" xfId="185" xr:uid="{55B9D455-234F-48C4-B782-A279D063ED31}"/>
    <cellStyle name="blp_column_header" xfId="186" xr:uid="{93923ADD-52C8-4924-B987-AB59A093C206}"/>
    <cellStyle name="Body" xfId="187" xr:uid="{F8457BCD-23DA-41B0-BB93-7DA3E0D65E94}"/>
    <cellStyle name="Border, Bottom" xfId="188" xr:uid="{9667663A-F651-4D3A-98AD-23819C2975C8}"/>
    <cellStyle name="Border, Left" xfId="189" xr:uid="{917FF2CB-8BF1-4F13-BB8F-E3FF82009962}"/>
    <cellStyle name="Border, Right" xfId="190" xr:uid="{0831B0B7-04A6-45BA-BC7B-5D2413B09E4E}"/>
    <cellStyle name="Border, Top" xfId="191" xr:uid="{0BB33D04-A2D4-4DF3-B9FF-D9704B0A1735}"/>
    <cellStyle name="Calc Currency (0)" xfId="192" xr:uid="{14744B5B-571B-415B-8E7E-62A10C59B3A1}"/>
    <cellStyle name="Comma 10" xfId="193" xr:uid="{9CE3BB66-7CE2-45A8-BE9B-E4B6C92546D5}"/>
    <cellStyle name="Comma 12" xfId="194" xr:uid="{0DD7F0AC-FF18-41F3-B71A-8E7F5946BD84}"/>
    <cellStyle name="Comma 12 2" xfId="195" xr:uid="{53C5DE92-E3A2-439E-B980-F2F600AAE042}"/>
    <cellStyle name="Comma 2" xfId="196" xr:uid="{77593151-307F-448F-9233-1E889464A260}"/>
    <cellStyle name="Comma 2 2" xfId="197" xr:uid="{9AE69E03-E819-4068-BAA4-2CCB3AD3570A}"/>
    <cellStyle name="Comma 2 2 2" xfId="198" xr:uid="{F87E6B8D-20D4-4D2D-B00C-25E3EA24F0BC}"/>
    <cellStyle name="Comma 2 2 2 2" xfId="199" xr:uid="{6178C7A5-D6F4-4261-A064-42B4D607C1A2}"/>
    <cellStyle name="Comma 2 2 3" xfId="200" xr:uid="{FA6DF97A-E960-46C9-8607-B27CC7840835}"/>
    <cellStyle name="Comma 2 3" xfId="201" xr:uid="{9C58395A-FDCA-4B5B-ABE0-2B46C021E668}"/>
    <cellStyle name="Comma 2 4" xfId="202" xr:uid="{E6E8D3C5-F3FF-4A26-89B2-D499B379568E}"/>
    <cellStyle name="Comma 3" xfId="203" xr:uid="{6300AAAA-8C28-46F1-8DD9-BE953F85DCB7}"/>
    <cellStyle name="Comma 3 2" xfId="204" xr:uid="{893FDA68-1048-4EDE-8941-8C3A72829521}"/>
    <cellStyle name="Comma 3 2 2" xfId="205" xr:uid="{D41A7065-4625-4A3B-92DB-A253A1D41851}"/>
    <cellStyle name="Comma 3 3" xfId="206" xr:uid="{5E39447E-85C4-4C06-A9EA-87E5A52BCE8C}"/>
    <cellStyle name="Comma 4" xfId="207" xr:uid="{C95A40C7-8C90-4005-8CD5-0AEACA51D87C}"/>
    <cellStyle name="Comma 4 2" xfId="208" xr:uid="{B8F98FD7-90E5-4590-B6D7-9C9A884113C6}"/>
    <cellStyle name="Comma 5" xfId="2" xr:uid="{EFC56135-A66A-469E-B532-2AE8C770C17D}"/>
    <cellStyle name="Comma 6 2" xfId="209" xr:uid="{BC4B6043-1792-4F4B-8B30-BB12D97165FE}"/>
    <cellStyle name="Comma 6 2 2" xfId="210" xr:uid="{26F2D7B7-0D97-4054-89FF-0EA680EB69C1}"/>
    <cellStyle name="Comma 6 3" xfId="211" xr:uid="{67CD653A-8F84-453C-94E2-0368A3267C5B}"/>
    <cellStyle name="Comma 6 3 2" xfId="212" xr:uid="{59CAD5CF-9FAB-4C21-B33B-6CA8CAEFC7C3}"/>
    <cellStyle name="Comma 6 4" xfId="213" xr:uid="{6865742D-4E6B-42E9-A1B6-F7DF580E0B92}"/>
    <cellStyle name="Comma 6 4 2" xfId="214" xr:uid="{D6AE64A7-D691-47C1-B697-E11288AF63D5}"/>
    <cellStyle name="Comma 6 5" xfId="215" xr:uid="{ACD56EAA-EFBB-48F6-A471-BB7302184EC4}"/>
    <cellStyle name="Comma 6 5 2" xfId="216" xr:uid="{0ADFC0A4-8755-4C8A-8FAD-5EE6CB5486BE}"/>
    <cellStyle name="Comma 6 6" xfId="217" xr:uid="{116BD624-A1B0-4F29-9CE3-F5E52C45CFF8}"/>
    <cellStyle name="Comma 6 6 2" xfId="218" xr:uid="{EEACF201-0BE8-4873-A67C-00CBA5A7D3A7}"/>
    <cellStyle name="Comma0" xfId="219" xr:uid="{A39FB139-C248-4612-8152-0D89F93B5353}"/>
    <cellStyle name="Comma0 10" xfId="220" xr:uid="{11812582-BE12-4FFD-B2D1-5ECB8E70947B}"/>
    <cellStyle name="Comma0 10 10" xfId="221" xr:uid="{DFA2BDA9-287A-4741-8EA5-9575C1565F06}"/>
    <cellStyle name="Comma0 10 11" xfId="222" xr:uid="{91004D94-C9CF-485A-8D41-7A3C6F955618}"/>
    <cellStyle name="Comma0 10 12" xfId="223" xr:uid="{B0BD8210-5E8E-4A5B-BD18-7086CF0B9139}"/>
    <cellStyle name="Comma0 10 13" xfId="224" xr:uid="{A5F4334A-7687-40EA-A606-89B5C4BD373B}"/>
    <cellStyle name="Comma0 10 14" xfId="225" xr:uid="{56723B76-E400-4375-B3D2-DB96CD1E9E05}"/>
    <cellStyle name="Comma0 10 15" xfId="226" xr:uid="{1B6FBECF-FC0F-409C-B2A5-8A9E7470DEE4}"/>
    <cellStyle name="Comma0 10 16" xfId="227" xr:uid="{D72583DB-32BB-4E94-85AB-45953CB1BA33}"/>
    <cellStyle name="Comma0 10 17" xfId="228" xr:uid="{42746626-09A0-45D5-9FC6-2761DE56FF6E}"/>
    <cellStyle name="Comma0 10 18" xfId="229" xr:uid="{E2FF6E89-69F2-4E39-803C-004A97AD579D}"/>
    <cellStyle name="Comma0 10 19" xfId="230" xr:uid="{638E397F-9AA2-4FAF-A2F4-8BD31C34BAA7}"/>
    <cellStyle name="Comma0 10 2" xfId="231" xr:uid="{4F2EAF3A-540A-418E-A62A-87776F72E5E8}"/>
    <cellStyle name="Comma0 10 20" xfId="232" xr:uid="{D1231709-4176-4E71-AB7D-00996037B833}"/>
    <cellStyle name="Comma0 10 21" xfId="233" xr:uid="{47CCEDEE-FD9C-4047-B136-EEAA657B6826}"/>
    <cellStyle name="Comma0 10 22" xfId="234" xr:uid="{2F689A1E-7D05-43C1-8242-BEC001F5D1CE}"/>
    <cellStyle name="Comma0 10 23" xfId="235" xr:uid="{33FCFD69-986E-4176-9755-BCDF8DF04BFF}"/>
    <cellStyle name="Comma0 10 24" xfId="236" xr:uid="{C7F233A7-8C24-43C6-9432-36B3D3562DD5}"/>
    <cellStyle name="Comma0 10 25" xfId="237" xr:uid="{AEEB5D17-D436-4E30-9947-2F81833322FB}"/>
    <cellStyle name="Comma0 10 26" xfId="238" xr:uid="{0F569CEB-6828-40C4-B9DD-69B2E2A0ABE2}"/>
    <cellStyle name="Comma0 10 3" xfId="239" xr:uid="{D23428C2-6027-47AB-A00E-985F8DCC36BD}"/>
    <cellStyle name="Comma0 10 4" xfId="240" xr:uid="{AF492E32-A9EB-415E-9554-4BDC7E640DB1}"/>
    <cellStyle name="Comma0 10 5" xfId="241" xr:uid="{F7A3B9DA-110A-4AD1-A51B-154AC5248919}"/>
    <cellStyle name="Comma0 10 6" xfId="242" xr:uid="{7250B042-F7FC-4275-821E-856918173A04}"/>
    <cellStyle name="Comma0 10 7" xfId="243" xr:uid="{5EFB36AF-A74F-4407-8918-424AE4A5E5F1}"/>
    <cellStyle name="Comma0 10 8" xfId="244" xr:uid="{972E2C86-A92E-483B-A9A6-844427F5A429}"/>
    <cellStyle name="Comma0 10 9" xfId="245" xr:uid="{B2F418B0-AAE5-48B4-B2D8-6BB1C360E1BD}"/>
    <cellStyle name="Comma0 11" xfId="246" xr:uid="{2997333E-CE21-44CB-9CF8-57B2706603AF}"/>
    <cellStyle name="Comma0 11 2" xfId="247" xr:uid="{0C3E6161-7E83-4D11-B7F6-DD2990AE108E}"/>
    <cellStyle name="Comma0 11 3" xfId="248" xr:uid="{E63EDE73-E677-4D4C-A2BE-5D4292FA27DA}"/>
    <cellStyle name="Comma0 11 4" xfId="249" xr:uid="{A939923A-379F-4ACA-81F1-F49D201AA9E4}"/>
    <cellStyle name="Comma0 11 5" xfId="250" xr:uid="{44CCA440-3260-457A-846B-69A3FC071988}"/>
    <cellStyle name="Comma0 11 6" xfId="251" xr:uid="{D5CDA6A9-A45E-4D9E-AD5D-EA95D8A89421}"/>
    <cellStyle name="Comma0 11 7" xfId="252" xr:uid="{A565BD70-7EF0-4CA9-B3D3-E65C9C864E7A}"/>
    <cellStyle name="Comma0 12" xfId="253" xr:uid="{F21F4418-232C-47AE-B131-43770439D168}"/>
    <cellStyle name="Comma0 12 2" xfId="254" xr:uid="{64133290-BC7D-46A7-A048-72DC42A2473E}"/>
    <cellStyle name="Comma0 12 2 2" xfId="255" xr:uid="{ED37C7D2-E7C6-4852-B5E0-33B50A97C52F}"/>
    <cellStyle name="Comma0 12 3" xfId="256" xr:uid="{174D4C9B-7E1E-4D9E-83C8-2E6F630F99DB}"/>
    <cellStyle name="Comma0 12 3 2" xfId="257" xr:uid="{C911505E-C352-4BF5-B52E-798977B3E548}"/>
    <cellStyle name="Comma0 12 4" xfId="258" xr:uid="{951F3820-5A22-4EDA-AEC5-CE1468FBCCF8}"/>
    <cellStyle name="Comma0 13" xfId="259" xr:uid="{9ED185B1-4E58-458D-AD86-5162A1A4BD08}"/>
    <cellStyle name="Comma0 13 2" xfId="260" xr:uid="{CF606262-A1F1-4B1F-B3E6-6918CD9A91A3}"/>
    <cellStyle name="Comma0 14" xfId="261" xr:uid="{89FC1A40-D011-49B7-B3EE-20669C7BDAEF}"/>
    <cellStyle name="Comma0 14 2" xfId="262" xr:uid="{8EED348F-D19B-4762-AA25-4908A1D8D4D9}"/>
    <cellStyle name="Comma0 15" xfId="263" xr:uid="{CD23E4BF-23F1-4029-B105-7FF9C39634AC}"/>
    <cellStyle name="Comma0 15 2" xfId="264" xr:uid="{9945440C-A315-4834-8544-6E304F14A4C2}"/>
    <cellStyle name="Comma0 16" xfId="265" xr:uid="{AADBD056-79AA-48F6-AE60-938CF5BE4546}"/>
    <cellStyle name="Comma0 16 2" xfId="266" xr:uid="{B16B0B37-39FC-4C8B-B137-0ABCDC03C43A}"/>
    <cellStyle name="Comma0 17" xfId="267" xr:uid="{F527690F-F00F-4948-868D-201380CA4A3C}"/>
    <cellStyle name="Comma0 17 2" xfId="268" xr:uid="{E6CB3D76-A727-432B-BC1C-CB9A8E9033F1}"/>
    <cellStyle name="Comma0 18" xfId="269" xr:uid="{F45280D9-2C91-4277-B32F-1F87FC817025}"/>
    <cellStyle name="Comma0 19" xfId="270" xr:uid="{D29CA123-A9AC-4E05-A033-224EFDFFEB56}"/>
    <cellStyle name="Comma0 2" xfId="271" xr:uid="{9FB6E3ED-DDA4-48E9-89DF-085DFB28923C}"/>
    <cellStyle name="Comma0 2 2" xfId="272" xr:uid="{E9226D4A-E254-40A7-AF15-2FD942D5A199}"/>
    <cellStyle name="Comma0 2 2 2" xfId="273" xr:uid="{F57C6E8D-6525-4A2D-8BA7-392DA181B03E}"/>
    <cellStyle name="Comma0 2 3" xfId="274" xr:uid="{8E020C5F-CFE2-4A51-96D1-AE05537E3E90}"/>
    <cellStyle name="Comma0 2 3 2" xfId="275" xr:uid="{891DF50B-B455-42C1-A73D-C3AA342C6AF8}"/>
    <cellStyle name="Comma0 2 4" xfId="276" xr:uid="{3AB2EFDA-C13F-4B04-AF08-2CEBE0B11EBF}"/>
    <cellStyle name="Comma0 2 4 2" xfId="277" xr:uid="{D0F0943F-C74A-4F59-A734-8A68E53051E0}"/>
    <cellStyle name="Comma0 2 5" xfId="278" xr:uid="{59838131-6510-4B53-BF88-7C646137DBF8}"/>
    <cellStyle name="Comma0 2 5 2" xfId="279" xr:uid="{1DC1FFBC-8665-4AF9-93E8-493F9FDCFDAF}"/>
    <cellStyle name="Comma0 2 6" xfId="280" xr:uid="{D3B1A879-3738-4719-BAFA-F76F3B000720}"/>
    <cellStyle name="Comma0 2 6 2" xfId="281" xr:uid="{F30DB3A0-BA23-4075-A545-BC1B8E51BA87}"/>
    <cellStyle name="Comma0 2 7" xfId="282" xr:uid="{5E698367-871C-4F4D-8D2B-C841BD675628}"/>
    <cellStyle name="Comma0 20" xfId="283" xr:uid="{239CEDFA-5F6D-47C7-8E5E-9D84E29686E2}"/>
    <cellStyle name="Comma0 21" xfId="284" xr:uid="{9340CD66-9C29-4815-BB40-2314F247296C}"/>
    <cellStyle name="Comma0 22" xfId="285" xr:uid="{28CCA6DD-128C-4AEE-B97F-936183B688B8}"/>
    <cellStyle name="Comma0 23" xfId="286" xr:uid="{A1A3F413-16F5-49E9-BD88-55A3B1689D00}"/>
    <cellStyle name="Comma0 24" xfId="287" xr:uid="{B974271B-03C4-496F-8DDC-388E8CFDE0A1}"/>
    <cellStyle name="Comma0 25" xfId="288" xr:uid="{84A69D92-42F4-4A80-BC67-5209F5EC37F8}"/>
    <cellStyle name="Comma0 26" xfId="289" xr:uid="{38432399-E292-4C3A-B6BB-E81AC402E184}"/>
    <cellStyle name="Comma0 27" xfId="290" xr:uid="{DDB61911-88EC-4893-8B6C-A116355A6ED1}"/>
    <cellStyle name="Comma0 28" xfId="291" xr:uid="{B1D729D1-B6E9-4220-9FE6-6C8E62AC00B6}"/>
    <cellStyle name="Comma0 29" xfId="292" xr:uid="{511C3014-3ABE-4BA9-B37B-41C9DA7A9B8B}"/>
    <cellStyle name="Comma0 3" xfId="293" xr:uid="{C1BF3CF6-9507-454E-9CA6-F007A527B144}"/>
    <cellStyle name="Comma0 3 2" xfId="294" xr:uid="{5EA9DD33-22CA-418A-A4DE-5EABF4CBC177}"/>
    <cellStyle name="Comma0 30" xfId="295" xr:uid="{9772486A-4A8F-4F1E-BA66-2717D7006993}"/>
    <cellStyle name="Comma0 31" xfId="296" xr:uid="{1CF83249-A150-46ED-A248-A691FC11EA2B}"/>
    <cellStyle name="Comma0 31 2" xfId="297" xr:uid="{D2737EF4-7CC4-4C2C-A000-642337DEB69A}"/>
    <cellStyle name="Comma0 31 3" xfId="298" xr:uid="{F8603B9F-1B64-4F0C-8811-72CCF2E76426}"/>
    <cellStyle name="Comma0 31 4" xfId="299" xr:uid="{1BF6F5FA-FC5F-413A-973D-B37BB0B90C99}"/>
    <cellStyle name="Comma0 32" xfId="300" xr:uid="{33E565F4-ACE4-4C4E-8D6F-9D9922D26D39}"/>
    <cellStyle name="Comma0 32 2" xfId="301" xr:uid="{649423B8-EAFB-44E4-B9DB-F5D3DC81A3BD}"/>
    <cellStyle name="Comma0 32 3" xfId="302" xr:uid="{29E6B648-29B9-4695-966B-918097EDF282}"/>
    <cellStyle name="Comma0 32 4" xfId="303" xr:uid="{1F1BC941-82FC-4498-96AE-08791C7218A9}"/>
    <cellStyle name="Comma0 33" xfId="304" xr:uid="{5729AC98-C5AD-462D-B68E-453F4DAAD431}"/>
    <cellStyle name="Comma0 33 2" xfId="305" xr:uid="{9BD6735C-D26F-4D12-B1E0-A822AED21578}"/>
    <cellStyle name="Comma0 33 3" xfId="306" xr:uid="{B1CD09EF-4097-47C4-914D-65340BA4DFC0}"/>
    <cellStyle name="Comma0 34" xfId="307" xr:uid="{D2E07305-1651-4895-B74A-1BC21E5A1891}"/>
    <cellStyle name="Comma0 34 2" xfId="308" xr:uid="{0D180FE2-2ECD-444E-8844-A3F086F9D6B7}"/>
    <cellStyle name="Comma0 35" xfId="309" xr:uid="{95610F51-68F9-4857-897E-655A51E900C8}"/>
    <cellStyle name="Comma0 35 2" xfId="310" xr:uid="{CFB2B3D3-407A-4BE5-B43F-A80AAFDD68E6}"/>
    <cellStyle name="Comma0 36" xfId="311" xr:uid="{E3D75180-6F2D-4968-9823-BC8BC38AA28A}"/>
    <cellStyle name="Comma0 36 2" xfId="312" xr:uid="{E13E7C74-CD47-408F-B247-44528B4CCA07}"/>
    <cellStyle name="Comma0 37" xfId="313" xr:uid="{71183B6F-DD42-45C0-A83D-05430B50BC12}"/>
    <cellStyle name="Comma0 38" xfId="314" xr:uid="{CFCC09D1-3352-46BF-A891-BCC8E19D1968}"/>
    <cellStyle name="Comma0 39" xfId="315" xr:uid="{A7BB45C9-2B60-4102-8F05-7284A9D99966}"/>
    <cellStyle name="Comma0 4" xfId="316" xr:uid="{BEC81245-D1A0-484D-8E56-68C554FC57B2}"/>
    <cellStyle name="Comma0 4 2" xfId="317" xr:uid="{E43FDBEC-FA25-417E-9B9F-E143BE242307}"/>
    <cellStyle name="Comma0 4 2 2" xfId="318" xr:uid="{5C73E679-E56E-4355-9EA7-1B002386C73C}"/>
    <cellStyle name="Comma0 4 3" xfId="319" xr:uid="{5062399F-21C3-4A82-8545-16A7BB6243A8}"/>
    <cellStyle name="Comma0 40" xfId="320" xr:uid="{821998BD-C0B1-4498-BFD8-0F8CD881EFA4}"/>
    <cellStyle name="Comma0 41" xfId="321" xr:uid="{8D33C9AF-F4D5-4F8E-8E47-A6E96F24C15B}"/>
    <cellStyle name="Comma0 42" xfId="322" xr:uid="{D0D0F927-7DA3-4B59-9F20-7EDD50A0F927}"/>
    <cellStyle name="Comma0 42 2" xfId="323" xr:uid="{B1508D35-E3CA-40FD-99B9-B95E222521B9}"/>
    <cellStyle name="Comma0 43" xfId="324" xr:uid="{D41CA483-B428-4B71-85BB-E564E651DE83}"/>
    <cellStyle name="Comma0 5" xfId="325" xr:uid="{93B14C2B-F94F-45A7-9E0E-3E58DD8D1857}"/>
    <cellStyle name="Comma0 5 2" xfId="326" xr:uid="{4F26B2BA-CBB0-497B-8D0D-9D9A1E904B58}"/>
    <cellStyle name="Comma0 6" xfId="327" xr:uid="{A322BFED-86DB-4068-8535-315FFC231E4F}"/>
    <cellStyle name="Comma0 6 2" xfId="328" xr:uid="{F5FA2E3F-029E-4F10-A613-F9E5020C488B}"/>
    <cellStyle name="Comma0 7" xfId="329" xr:uid="{54BEB001-A6DD-49E3-A2D8-46888ED5FB9C}"/>
    <cellStyle name="Comma0 7 2" xfId="330" xr:uid="{1F3F0B65-DF0F-47A0-AF7C-171FE1483B34}"/>
    <cellStyle name="Comma0 8" xfId="331" xr:uid="{D33F8A3B-B73C-4F02-95DC-E11AFBF52DDC}"/>
    <cellStyle name="Comma0 8 2" xfId="332" xr:uid="{686D19A9-85F4-447F-94C9-E9DD7DFE04CD}"/>
    <cellStyle name="Comma0 9" xfId="333" xr:uid="{E4B597EB-337D-43CB-81E5-B127AAF40171}"/>
    <cellStyle name="Comma0 9 2" xfId="334" xr:uid="{72E35D9B-DFC4-4446-B08F-14E44F8149ED}"/>
    <cellStyle name="Comma0 9 2 2" xfId="335" xr:uid="{D6E6D3D1-DED7-4F48-928D-20FB5F8FFEF0}"/>
    <cellStyle name="Comma0 9 3" xfId="336" xr:uid="{129029B9-314D-4980-9134-F2E4D2145E74}"/>
    <cellStyle name="Comma0 9 3 2" xfId="337" xr:uid="{7361C8E9-5E54-4CF6-9F75-5F14999CB67C}"/>
    <cellStyle name="Comma0 9 4" xfId="338" xr:uid="{95BD01F0-1FA8-45AF-B95A-E6C0E6498C04}"/>
    <cellStyle name="Comma0 9 4 2" xfId="339" xr:uid="{D1F351A7-BD74-4312-ABE9-F6A8E0B62167}"/>
    <cellStyle name="Comma0 9 5" xfId="340" xr:uid="{31530BA5-668E-45B1-8E5A-E7CCBF63A118}"/>
    <cellStyle name="Copied" xfId="341" xr:uid="{D1715BC5-A7F7-4B73-95DD-2E0E69210D32}"/>
    <cellStyle name="Currency 2" xfId="342" xr:uid="{1D8225C2-3CBB-449E-A641-228CAD93D812}"/>
    <cellStyle name="Currency 2 10" xfId="343" xr:uid="{1C012E9B-4F2B-4EF0-BA02-BEB2B4ED5C04}"/>
    <cellStyle name="Currency 2 10 2" xfId="344" xr:uid="{0CDCBF38-AC3F-4386-9575-874BCEBC5DDD}"/>
    <cellStyle name="Currency 2 11" xfId="345" xr:uid="{788A865E-153A-44E4-ADD5-21DDD01E394D}"/>
    <cellStyle name="Currency 2 11 2" xfId="346" xr:uid="{8777C814-08B6-4862-B4FA-80E05DC8502D}"/>
    <cellStyle name="Currency 2 12" xfId="347" xr:uid="{3B11D2AB-61B8-42F6-8D46-579ED4D67D4F}"/>
    <cellStyle name="Currency 2 12 2" xfId="348" xr:uid="{3E238D6B-FE72-4395-9D8A-091A634403CF}"/>
    <cellStyle name="Currency 2 13" xfId="349" xr:uid="{AC06CAC4-2D23-4525-B633-5ED688E23D79}"/>
    <cellStyle name="Currency 2 2" xfId="350" xr:uid="{DD469B5F-BE66-4913-81D2-8F77B7DD6E3F}"/>
    <cellStyle name="Currency 2 2 2" xfId="351" xr:uid="{84FB09F9-07D1-4A53-B966-A23381E153B7}"/>
    <cellStyle name="Currency 2 3" xfId="352" xr:uid="{B0005DA0-1233-4C0F-AC6B-C2C20D8AC478}"/>
    <cellStyle name="Currency 2 3 2" xfId="353" xr:uid="{72B85FA9-7C79-489E-99A8-0506EBE1E832}"/>
    <cellStyle name="Currency 2 4" xfId="354" xr:uid="{ECF3FCB1-F39D-49A6-8451-E945BA0F5819}"/>
    <cellStyle name="Currency 2 4 2" xfId="355" xr:uid="{BC17915F-DA92-4F79-9BD9-A5497ED726B3}"/>
    <cellStyle name="Currency 2 5" xfId="356" xr:uid="{9E1A163E-BC27-4FDA-B131-E430C6046165}"/>
    <cellStyle name="Currency 2 5 2" xfId="357" xr:uid="{E89628B4-2EC4-4306-907B-9FB79ECA3DE6}"/>
    <cellStyle name="Currency 2 6" xfId="358" xr:uid="{FD1AA542-200E-4B5A-9E39-51A535B4C850}"/>
    <cellStyle name="Currency 2 6 2" xfId="359" xr:uid="{F6D6402E-F729-4D02-8554-F7C51ADC021F}"/>
    <cellStyle name="Currency 2 7" xfId="360" xr:uid="{8E2F9464-F247-47C7-A96A-424E943FA855}"/>
    <cellStyle name="Currency 2 7 2" xfId="361" xr:uid="{A6F5B90E-7F11-4402-9909-94CD293E09E4}"/>
    <cellStyle name="Currency 2 8" xfId="362" xr:uid="{70A22DFB-3748-4FE3-A153-6CE908D83B7D}"/>
    <cellStyle name="Currency 2 8 2" xfId="363" xr:uid="{A5EB4A8D-4A9B-4B4C-8104-8810A6D5F257}"/>
    <cellStyle name="Currency 2 9" xfId="364" xr:uid="{73CC7A04-1090-43B3-889E-D596F16BF3A6}"/>
    <cellStyle name="Currency 2 9 2" xfId="365" xr:uid="{073CD03F-FF5F-400C-A9F8-74465BFC5313}"/>
    <cellStyle name="Currency 3" xfId="366" xr:uid="{8D8D5662-B174-4A69-A012-1DBAB76A50C2}"/>
    <cellStyle name="Currency 3 2" xfId="367" xr:uid="{39FB154F-735C-45C8-A4F1-58A399B27073}"/>
    <cellStyle name="Currency 3 2 2" xfId="368" xr:uid="{EB0CB32E-BCAF-4BA6-8723-7BD32388C889}"/>
    <cellStyle name="Currency 3 2 2 2" xfId="369" xr:uid="{B8374521-1B8A-4770-9BFD-76BBE076F67E}"/>
    <cellStyle name="Currency 3 2 3" xfId="370" xr:uid="{73EB2AC7-F5F2-44B4-B4B7-686E34B7F90C}"/>
    <cellStyle name="Currency 3 3" xfId="371" xr:uid="{04E37448-9927-4C20-8079-C7B235986BF9}"/>
    <cellStyle name="Currency 3 3 2" xfId="372" xr:uid="{E96CC08F-B374-48F5-9231-AD65CE293756}"/>
    <cellStyle name="Currency 3 4" xfId="373" xr:uid="{D527FE1D-6A99-4F30-85AB-150494740067}"/>
    <cellStyle name="Currency 4" xfId="374" xr:uid="{517088CB-025D-469A-9BB3-A5BC02AC5961}"/>
    <cellStyle name="Currency 7" xfId="375" xr:uid="{331B577E-B564-4482-8B60-89A2E9720325}"/>
    <cellStyle name="Currency 7 2" xfId="376" xr:uid="{83417AC6-3246-4401-860C-E08E85DF5E3B}"/>
    <cellStyle name="Currency0" xfId="377" xr:uid="{B0655429-7FE6-42A2-9A84-4F8D14EC4EC8}"/>
    <cellStyle name="Currency0 10" xfId="378" xr:uid="{0B8C1454-9971-4D51-9277-CBF0061C4BED}"/>
    <cellStyle name="Currency0 10 10" xfId="379" xr:uid="{1255C499-D058-4E2F-AE26-6DDF86B55599}"/>
    <cellStyle name="Currency0 10 11" xfId="380" xr:uid="{EDF55667-5CFF-4BE2-BC3C-EF66658671CE}"/>
    <cellStyle name="Currency0 10 12" xfId="381" xr:uid="{EA7F95FD-97E1-4D78-8B0D-ABD14481BBE0}"/>
    <cellStyle name="Currency0 10 13" xfId="382" xr:uid="{C3BE5BC9-874F-459E-9F14-C219447C86E9}"/>
    <cellStyle name="Currency0 10 14" xfId="383" xr:uid="{3DE75148-5E62-42B3-97D4-CCC47445BCE3}"/>
    <cellStyle name="Currency0 10 15" xfId="384" xr:uid="{A4F2A085-819F-4BBF-8EDE-9D9358CDC065}"/>
    <cellStyle name="Currency0 10 16" xfId="385" xr:uid="{47D75707-9835-45B9-B647-D81B8DE62C71}"/>
    <cellStyle name="Currency0 10 17" xfId="386" xr:uid="{CC7BFB1E-B4D8-4BF2-AC5C-D029F52DF3BF}"/>
    <cellStyle name="Currency0 10 18" xfId="387" xr:uid="{7E59D622-5E62-46C2-A4CB-8C7B4A1F8981}"/>
    <cellStyle name="Currency0 10 19" xfId="388" xr:uid="{E9E57488-16AB-4F75-AC5E-69616C30CEE4}"/>
    <cellStyle name="Currency0 10 2" xfId="389" xr:uid="{ED7DBF70-F361-4B9A-944F-9C7EF3CEA750}"/>
    <cellStyle name="Currency0 10 20" xfId="390" xr:uid="{01533DDD-89E6-4D20-A319-20663EB5EE10}"/>
    <cellStyle name="Currency0 10 21" xfId="391" xr:uid="{97BBFE40-639E-4A71-AF7E-9E1CB89E5C02}"/>
    <cellStyle name="Currency0 10 22" xfId="392" xr:uid="{49989959-0CE1-42E0-9CF5-4A249A87A69A}"/>
    <cellStyle name="Currency0 10 23" xfId="393" xr:uid="{00BE420B-ADF2-42EB-9814-F7745540AD33}"/>
    <cellStyle name="Currency0 10 24" xfId="394" xr:uid="{13996C77-4A81-4BC4-A62D-E160D76224B5}"/>
    <cellStyle name="Currency0 10 25" xfId="395" xr:uid="{86A26F2E-A601-4193-B20D-8C604E61BB6B}"/>
    <cellStyle name="Currency0 10 26" xfId="396" xr:uid="{4937CC70-F2D0-426D-A568-746CE7798588}"/>
    <cellStyle name="Currency0 10 3" xfId="397" xr:uid="{838CC4BB-34EB-4536-8BEF-AA040B194764}"/>
    <cellStyle name="Currency0 10 4" xfId="398" xr:uid="{482B3B83-EFCA-4FA5-BF0D-D324C723A043}"/>
    <cellStyle name="Currency0 10 5" xfId="399" xr:uid="{2424F7BA-0706-4970-A095-AAC4E9F14410}"/>
    <cellStyle name="Currency0 10 6" xfId="400" xr:uid="{35A702CC-4E42-465B-A4F5-CF719BE46F11}"/>
    <cellStyle name="Currency0 10 7" xfId="401" xr:uid="{A04A7446-E074-4BD1-A5FB-4F1D40E57262}"/>
    <cellStyle name="Currency0 10 8" xfId="402" xr:uid="{F677B8B4-FC8C-4B3C-A4DC-2A4B37C41738}"/>
    <cellStyle name="Currency0 10 9" xfId="403" xr:uid="{650EB21F-F93E-447C-A650-60C27EDDC3A2}"/>
    <cellStyle name="Currency0 11" xfId="404" xr:uid="{E9E940F7-4CB7-43CB-B91A-4C766C3B897C}"/>
    <cellStyle name="Currency0 11 2" xfId="405" xr:uid="{C09B4596-D5AA-4620-92EF-1B4BB07A16E7}"/>
    <cellStyle name="Currency0 11 3" xfId="406" xr:uid="{C5D6B3B7-7FA7-49C0-9798-9F2B1A299030}"/>
    <cellStyle name="Currency0 11 4" xfId="407" xr:uid="{AF5DFE31-FF79-4033-AD46-516CFD916C5B}"/>
    <cellStyle name="Currency0 11 5" xfId="408" xr:uid="{5FCAB70C-10E4-4DF7-93DA-CF98532969D8}"/>
    <cellStyle name="Currency0 11 6" xfId="409" xr:uid="{886D215B-7D8E-4844-9C0C-0A89F020375C}"/>
    <cellStyle name="Currency0 11 7" xfId="410" xr:uid="{4A4C7A1E-6C25-4185-837A-E2E7B10F2717}"/>
    <cellStyle name="Currency0 12" xfId="411" xr:uid="{D92B3E8B-407D-46EB-9060-7E1C3B0F08DA}"/>
    <cellStyle name="Currency0 12 2" xfId="412" xr:uid="{D84F2247-6F58-49FD-BF33-12636445972D}"/>
    <cellStyle name="Currency0 12 2 2" xfId="413" xr:uid="{996D8010-A656-4E3D-8D90-14AC285E92E6}"/>
    <cellStyle name="Currency0 12 3" xfId="414" xr:uid="{FBE7956B-8F3D-4D2B-A4CD-5878AB9FA1DB}"/>
    <cellStyle name="Currency0 12 3 2" xfId="415" xr:uid="{BF3BFF36-2867-4377-96C9-A1629902DD6F}"/>
    <cellStyle name="Currency0 12 4" xfId="416" xr:uid="{81DEEC14-B2E6-4FC3-B689-BCFFA71CD306}"/>
    <cellStyle name="Currency0 13" xfId="417" xr:uid="{3F9D6BC0-40D9-4072-834D-30C69702C498}"/>
    <cellStyle name="Currency0 13 2" xfId="418" xr:uid="{CBDA426B-032C-4701-A50F-2B73A6620365}"/>
    <cellStyle name="Currency0 14" xfId="419" xr:uid="{6C8A4EFF-BC97-4F7D-800D-E45DC4C8D0A1}"/>
    <cellStyle name="Currency0 14 2" xfId="420" xr:uid="{8CE9ECF9-0529-49BD-BCB7-A5677E84947F}"/>
    <cellStyle name="Currency0 15" xfId="421" xr:uid="{BAAE5C1D-7095-4DF1-AAA1-0799DE7CDC3A}"/>
    <cellStyle name="Currency0 15 2" xfId="422" xr:uid="{BE55FBE9-C25F-4F60-BB43-A37FE3CFE2EC}"/>
    <cellStyle name="Currency0 16" xfId="423" xr:uid="{F6875032-B5E5-43AB-9CB8-8C0367AE21C4}"/>
    <cellStyle name="Currency0 16 2" xfId="424" xr:uid="{F99D8419-8693-49AE-B25B-46819465A722}"/>
    <cellStyle name="Currency0 17" xfId="425" xr:uid="{9A22A87B-E78B-4F24-843B-C53B01E8AAA6}"/>
    <cellStyle name="Currency0 17 2" xfId="426" xr:uid="{0BA1E999-6178-4520-83E6-B2B489805EFE}"/>
    <cellStyle name="Currency0 18" xfId="427" xr:uid="{93367E44-8246-45A7-91DB-815B8961E871}"/>
    <cellStyle name="Currency0 19" xfId="428" xr:uid="{92CFF678-D091-4793-9A9F-E6E43F0AB986}"/>
    <cellStyle name="Currency0 2" xfId="429" xr:uid="{71BA8BEC-C74F-4672-B4D9-9521093D901F}"/>
    <cellStyle name="Currency0 2 2" xfId="430" xr:uid="{311FB18C-82D4-4736-A8F5-DBDEAA463F15}"/>
    <cellStyle name="Currency0 2 2 2" xfId="431" xr:uid="{052C2382-C176-4965-9B49-0DABE65D7BC1}"/>
    <cellStyle name="Currency0 2 3" xfId="432" xr:uid="{239F9BD7-6848-4D6F-9780-E1D770E8D35C}"/>
    <cellStyle name="Currency0 2 3 2" xfId="433" xr:uid="{C105A508-4011-4695-85B6-8514B3B89A86}"/>
    <cellStyle name="Currency0 2 4" xfId="434" xr:uid="{99B1D4CF-1237-4A45-B9E5-35023240086A}"/>
    <cellStyle name="Currency0 2 4 2" xfId="435" xr:uid="{1282A23E-1DFE-4D2B-8BC9-4A59447D7D38}"/>
    <cellStyle name="Currency0 2 5" xfId="436" xr:uid="{94322121-079E-42BA-826F-1BD4E3B37F0F}"/>
    <cellStyle name="Currency0 2 5 2" xfId="437" xr:uid="{26AEF445-5422-48DC-991B-F10A32F94D06}"/>
    <cellStyle name="Currency0 2 6" xfId="438" xr:uid="{5F055AB5-76EB-47CB-B1E6-122C102900DC}"/>
    <cellStyle name="Currency0 2 6 2" xfId="439" xr:uid="{A11E3293-59C3-4D71-955B-ACEC4F5002AD}"/>
    <cellStyle name="Currency0 2 7" xfId="440" xr:uid="{920AE795-F5FF-43BA-BB8F-7B478546421E}"/>
    <cellStyle name="Currency0 20" xfId="441" xr:uid="{1EAE961C-D0C1-496D-8D5B-36424D71D066}"/>
    <cellStyle name="Currency0 21" xfId="442" xr:uid="{A335BD74-1E27-45DE-AEE3-76D5DD782753}"/>
    <cellStyle name="Currency0 22" xfId="443" xr:uid="{B4EF9094-6A4B-489A-B038-4E11FA9863CF}"/>
    <cellStyle name="Currency0 23" xfId="444" xr:uid="{AC5C68CE-785A-4908-BA76-7E17D69CE664}"/>
    <cellStyle name="Currency0 24" xfId="445" xr:uid="{32193404-7A54-4490-84B8-BD758C2A5FF5}"/>
    <cellStyle name="Currency0 25" xfId="446" xr:uid="{E2ACD952-A08D-4830-906D-26060B76FB05}"/>
    <cellStyle name="Currency0 26" xfId="447" xr:uid="{A92AA2D7-8AD3-4946-9C1E-607F6C7BAEE9}"/>
    <cellStyle name="Currency0 27" xfId="448" xr:uid="{F6E0BF41-FA87-4A34-B604-B2F2540EBBCA}"/>
    <cellStyle name="Currency0 28" xfId="449" xr:uid="{D746699A-E619-4BC2-8127-1AF8AAF704AF}"/>
    <cellStyle name="Currency0 29" xfId="450" xr:uid="{E1BA4C63-179E-4E6F-B2D5-E47E30630A1D}"/>
    <cellStyle name="Currency0 3" xfId="451" xr:uid="{8A3D79F0-0EEC-4CBD-8203-A6373A5758F0}"/>
    <cellStyle name="Currency0 3 2" xfId="452" xr:uid="{514F86CB-2978-4390-ADA7-2A868F6B1E09}"/>
    <cellStyle name="Currency0 30" xfId="453" xr:uid="{11D9A99F-AB0E-482C-B188-FB492EC72FDA}"/>
    <cellStyle name="Currency0 31" xfId="454" xr:uid="{3CF1E343-66CA-4298-A975-F77A2CFFBBF2}"/>
    <cellStyle name="Currency0 31 2" xfId="455" xr:uid="{A03E5DED-BAEB-47DF-887A-6D6C22F77B21}"/>
    <cellStyle name="Currency0 31 3" xfId="456" xr:uid="{CD482446-C493-4AFA-812A-31F3BE7CA482}"/>
    <cellStyle name="Currency0 31 4" xfId="457" xr:uid="{FC66D1BA-F1F3-4285-9770-32FD58F04576}"/>
    <cellStyle name="Currency0 32" xfId="458" xr:uid="{B49E1E6F-8017-4A2C-8E5C-6BD49D3FA839}"/>
    <cellStyle name="Currency0 32 2" xfId="459" xr:uid="{68AAE0C8-26FF-4E3F-A51D-FD20C638A633}"/>
    <cellStyle name="Currency0 32 3" xfId="460" xr:uid="{DA547FF7-F0B3-47B9-92B0-E6E5BB8E2ABC}"/>
    <cellStyle name="Currency0 32 4" xfId="461" xr:uid="{6581AE19-305C-47C0-9533-27C791351173}"/>
    <cellStyle name="Currency0 33" xfId="462" xr:uid="{540EFD05-71B6-4C90-B8DE-4343624C9254}"/>
    <cellStyle name="Currency0 33 2" xfId="463" xr:uid="{D479531D-DE55-418A-A6BC-B9C70A9AD5C5}"/>
    <cellStyle name="Currency0 33 3" xfId="464" xr:uid="{9F828A27-8B00-4B52-89E7-19E253EE304E}"/>
    <cellStyle name="Currency0 34" xfId="465" xr:uid="{0820C87B-1BB9-4454-BAFC-83A3923B5F47}"/>
    <cellStyle name="Currency0 34 2" xfId="466" xr:uid="{9520FFA3-6C6E-45EB-93B0-8DC5BDBB872E}"/>
    <cellStyle name="Currency0 35" xfId="467" xr:uid="{2482E8F8-E20F-4D6D-8F57-2BF7460D766D}"/>
    <cellStyle name="Currency0 35 2" xfId="468" xr:uid="{1078E880-B770-4657-AEB5-DE3EBAA726FC}"/>
    <cellStyle name="Currency0 36" xfId="469" xr:uid="{9653E94F-FC8F-4A24-B45A-4E1F24C3A3CA}"/>
    <cellStyle name="Currency0 36 2" xfId="470" xr:uid="{426DB174-F391-45F7-B156-5B7A47A16981}"/>
    <cellStyle name="Currency0 37" xfId="471" xr:uid="{DD2C903B-00CE-450B-8297-E2747733E7DB}"/>
    <cellStyle name="Currency0 38" xfId="472" xr:uid="{2F1CE112-776B-46DE-8695-8302EC1E0A20}"/>
    <cellStyle name="Currency0 39" xfId="473" xr:uid="{FA59F56A-D37A-4E88-B312-92C57E043809}"/>
    <cellStyle name="Currency0 4" xfId="474" xr:uid="{35C0C3A2-C537-43F0-A830-2CB4F0049139}"/>
    <cellStyle name="Currency0 4 2" xfId="475" xr:uid="{B7660B8E-83B5-4543-9D1C-DC4DA2F54DD2}"/>
    <cellStyle name="Currency0 4 2 2" xfId="476" xr:uid="{E99C5088-B9E9-4840-8D8C-88D99DB394B0}"/>
    <cellStyle name="Currency0 4 3" xfId="477" xr:uid="{D5C7185A-88C9-4FCD-AFC8-75851DFF8BEE}"/>
    <cellStyle name="Currency0 40" xfId="478" xr:uid="{F771BE2D-76FE-4B1C-9C45-44B94F3CDB49}"/>
    <cellStyle name="Currency0 41" xfId="479" xr:uid="{F972D3D4-C469-4E9D-841B-329E10F00874}"/>
    <cellStyle name="Currency0 42" xfId="480" xr:uid="{76243BF1-A43E-40D0-A805-7D3F58641B9E}"/>
    <cellStyle name="Currency0 42 2" xfId="481" xr:uid="{A9EFBD4C-3528-44B6-95CC-2420C08CCEA4}"/>
    <cellStyle name="Currency0 43" xfId="482" xr:uid="{90B4DE57-5B0E-4A08-92AA-BBD8DCFAAE24}"/>
    <cellStyle name="Currency0 5" xfId="483" xr:uid="{9F7E5E37-CDAD-45B1-AFB1-5C13B944E8E8}"/>
    <cellStyle name="Currency0 5 2" xfId="484" xr:uid="{76F45C52-2BA3-4D3F-8A2B-1F74C60F6A4E}"/>
    <cellStyle name="Currency0 6" xfId="485" xr:uid="{2D4B74D9-8716-4183-92FE-45D14224A9B0}"/>
    <cellStyle name="Currency0 6 2" xfId="486" xr:uid="{14559629-F791-4F27-9E9B-38B708E85C83}"/>
    <cellStyle name="Currency0 7" xfId="487" xr:uid="{F1EEFD75-3EB5-4FED-8B13-87603AA72D88}"/>
    <cellStyle name="Currency0 7 2" xfId="488" xr:uid="{99BD30FC-EC64-4BBE-A3F3-29936C5D0773}"/>
    <cellStyle name="Currency0 8" xfId="489" xr:uid="{AA656F91-5489-48EB-AAAF-A0A20E4A1760}"/>
    <cellStyle name="Currency0 8 2" xfId="490" xr:uid="{4C463C21-B561-4FDF-88FE-5183D2F40361}"/>
    <cellStyle name="Currency0 9" xfId="491" xr:uid="{52019905-4357-4A45-8947-27F7D7B5115C}"/>
    <cellStyle name="Currency0 9 2" xfId="492" xr:uid="{FEC1DC6B-E5AF-4D70-A91D-038FE3F32937}"/>
    <cellStyle name="Currency0 9 2 2" xfId="493" xr:uid="{0856C76D-7851-4BFE-BBBA-893582E10839}"/>
    <cellStyle name="Currency0 9 3" xfId="494" xr:uid="{5C2E4D8A-202F-4AB8-85AA-54966B260565}"/>
    <cellStyle name="Currency0 9 3 2" xfId="495" xr:uid="{57D048BE-1BE0-4928-A2CF-F5A6042F17D6}"/>
    <cellStyle name="Currency0 9 4" xfId="496" xr:uid="{27F04984-8702-43AC-BE41-A0BA500BF419}"/>
    <cellStyle name="Currency0 9 4 2" xfId="497" xr:uid="{C6FB6BB0-A6B4-4FCE-8A19-56240BC66CE2}"/>
    <cellStyle name="Currency0 9 5" xfId="498" xr:uid="{755CE12C-FA54-409D-840A-C6B7825F61A0}"/>
    <cellStyle name="Date" xfId="499" xr:uid="{1D6D425A-9F1E-4838-BE61-6AF35506009F}"/>
    <cellStyle name="Date 10" xfId="500" xr:uid="{25697B4C-7B3E-4359-85E5-EB58B37842AF}"/>
    <cellStyle name="Date 10 10" xfId="501" xr:uid="{F66A42B1-C2FA-4F27-8D76-04AAEC50A6E6}"/>
    <cellStyle name="Date 10 11" xfId="502" xr:uid="{F4558F20-77C7-4611-9880-089C7FAFF705}"/>
    <cellStyle name="Date 10 12" xfId="503" xr:uid="{B5576426-EAF6-4371-ACA3-D9F6AE42EA91}"/>
    <cellStyle name="Date 10 13" xfId="504" xr:uid="{F4E9B34B-7805-4BEF-BB19-8EEB4FE45D27}"/>
    <cellStyle name="Date 10 14" xfId="505" xr:uid="{468DDA06-1287-48BE-8F0E-AE119010BD09}"/>
    <cellStyle name="Date 10 15" xfId="506" xr:uid="{6242B3D9-94AE-49D8-90A0-5382E41E49B3}"/>
    <cellStyle name="Date 10 16" xfId="507" xr:uid="{251926A9-1E4A-4F55-86DD-2810247DC806}"/>
    <cellStyle name="Date 10 17" xfId="508" xr:uid="{0EAB1DDD-CB04-4647-A7B8-16B0063D8A1A}"/>
    <cellStyle name="Date 10 18" xfId="509" xr:uid="{3C31C802-3D5A-4EA8-A785-0808A8900545}"/>
    <cellStyle name="Date 10 19" xfId="510" xr:uid="{2AB53A8B-AC69-43D9-B96F-FD54DC7D74F2}"/>
    <cellStyle name="Date 10 2" xfId="511" xr:uid="{F914D5AE-97C6-4516-A2D1-DF23C34E38E3}"/>
    <cellStyle name="Date 10 20" xfId="512" xr:uid="{8812B928-5B5E-455B-A86F-F8D61F147CE5}"/>
    <cellStyle name="Date 10 21" xfId="513" xr:uid="{B184BFDE-C086-490A-A75E-9E2608483411}"/>
    <cellStyle name="Date 10 22" xfId="514" xr:uid="{F6EBB338-75AF-4A5C-BC15-DFE41EBD6E2A}"/>
    <cellStyle name="Date 10 23" xfId="515" xr:uid="{C7CB456A-D39F-4F2F-AA65-51457BC10CA4}"/>
    <cellStyle name="Date 10 24" xfId="516" xr:uid="{C4D14D59-7EB3-408F-BDC3-1F947CA4716C}"/>
    <cellStyle name="Date 10 25" xfId="517" xr:uid="{0CD44A3C-2106-405F-9600-1C7761F0B904}"/>
    <cellStyle name="Date 10 26" xfId="518" xr:uid="{6C91FB43-A99B-4CFC-8C45-F0C464E8AB1B}"/>
    <cellStyle name="Date 10 3" xfId="519" xr:uid="{30037A93-A4ED-4ACC-8C11-EC40FE4C9F51}"/>
    <cellStyle name="Date 10 4" xfId="520" xr:uid="{E35C40BC-7047-46C7-AEED-2A2BD0BCC375}"/>
    <cellStyle name="Date 10 5" xfId="521" xr:uid="{0AD047E0-A372-4063-9486-5E340658C0B7}"/>
    <cellStyle name="Date 10 6" xfId="522" xr:uid="{3CE49194-BDE5-4D61-B63F-9C0C92AF5D52}"/>
    <cellStyle name="Date 10 7" xfId="523" xr:uid="{5ADDCCBB-6310-482B-8E72-68DEF07604DA}"/>
    <cellStyle name="Date 10 8" xfId="524" xr:uid="{1474D2BC-C3FD-40CB-9DF7-EDCC15FE63E1}"/>
    <cellStyle name="Date 10 9" xfId="525" xr:uid="{1BAF2E35-67AA-43EC-BC9C-6F4BF50AF51F}"/>
    <cellStyle name="Date 11" xfId="526" xr:uid="{D5BD4B0A-E2B0-42F0-A112-B07B2930CDA2}"/>
    <cellStyle name="Date 11 2" xfId="527" xr:uid="{92A9EBE2-EDF1-4A2B-AA0D-471B676229E1}"/>
    <cellStyle name="Date 11 3" xfId="528" xr:uid="{67BB082E-1678-4A6C-9774-BECA9253AA6B}"/>
    <cellStyle name="Date 11 4" xfId="529" xr:uid="{45460C1F-3905-45D4-AA59-4B3FA63C336B}"/>
    <cellStyle name="Date 11 5" xfId="530" xr:uid="{DF43A985-7666-45C8-BE9F-D61CE5CC3649}"/>
    <cellStyle name="Date 11 6" xfId="531" xr:uid="{865CF618-ADEC-4269-8152-5B9B8ADC5C22}"/>
    <cellStyle name="Date 11 7" xfId="532" xr:uid="{0909E78A-5823-4079-AFBC-B215825D8091}"/>
    <cellStyle name="Date 12" xfId="533" xr:uid="{BF1F95E0-2D74-4E4A-893D-C1C93DE5AB3B}"/>
    <cellStyle name="Date 12 2" xfId="534" xr:uid="{09CD4062-39D5-445A-971F-0D3ADA836AAC}"/>
    <cellStyle name="Date 12 2 2" xfId="535" xr:uid="{80A88EAD-D5AE-48EC-AC01-E2B2A13F8E5D}"/>
    <cellStyle name="Date 12 3" xfId="536" xr:uid="{17E94512-A2FE-4F5A-83FE-31E0F20757E5}"/>
    <cellStyle name="Date 12 3 2" xfId="537" xr:uid="{96B07005-4AE5-4062-989D-62F2875F69D8}"/>
    <cellStyle name="Date 12 4" xfId="538" xr:uid="{FCE60C72-B47B-4086-BDED-C2552D158525}"/>
    <cellStyle name="Date 13" xfId="539" xr:uid="{4B64E894-5C6F-42B8-A5B7-3EE610EA464D}"/>
    <cellStyle name="Date 13 2" xfId="540" xr:uid="{340EB30E-99D1-443E-B6F3-C305630176CF}"/>
    <cellStyle name="Date 14" xfId="541" xr:uid="{F8668227-AB89-4B45-A96B-039786BA2480}"/>
    <cellStyle name="Date 14 2" xfId="542" xr:uid="{48AC72FD-F9F4-4D1F-A789-0FA8825640B5}"/>
    <cellStyle name="Date 15" xfId="543" xr:uid="{E02EE239-9B81-4AD9-A01E-ACFF27EDFAFB}"/>
    <cellStyle name="Date 15 2" xfId="544" xr:uid="{A6E8F52B-3C00-410D-921E-BA3DD9876138}"/>
    <cellStyle name="Date 16" xfId="545" xr:uid="{D2CED0B9-7DC5-47D6-9511-1AEC630659FE}"/>
    <cellStyle name="Date 16 2" xfId="546" xr:uid="{C51C0FC0-E6AE-406D-A45D-CA3A9480C04D}"/>
    <cellStyle name="Date 17" xfId="547" xr:uid="{DC6CF353-F9EF-488C-9B1D-9DCEE1BC04ED}"/>
    <cellStyle name="Date 17 2" xfId="548" xr:uid="{8CC6BFD6-732F-44E5-AEAB-492E08D1DF6C}"/>
    <cellStyle name="Date 18" xfId="549" xr:uid="{70BCBB1C-A7B9-4735-8471-6189B6703B96}"/>
    <cellStyle name="Date 19" xfId="550" xr:uid="{96D3EBD6-1952-4C29-893A-BEB7A995CE16}"/>
    <cellStyle name="Date 2" xfId="551" xr:uid="{099E94F8-56CF-468E-9D63-036C115BC57F}"/>
    <cellStyle name="Date 2 2" xfId="552" xr:uid="{89D7CD1B-FBEE-4DBF-8256-980B7A2EB776}"/>
    <cellStyle name="Date 2 2 2" xfId="553" xr:uid="{8B0C6B20-1E8C-4CA6-B7D2-CDCFC5FC0913}"/>
    <cellStyle name="Date 2 3" xfId="554" xr:uid="{66644BCD-5D01-40B1-9DFF-AF1BE478AD0B}"/>
    <cellStyle name="Date 2 3 2" xfId="555" xr:uid="{6F27F0E2-4D20-43CA-9FC1-1348536A1A00}"/>
    <cellStyle name="Date 2 4" xfId="556" xr:uid="{3B03384C-4AA8-47B4-AD6F-73F7CD0AB311}"/>
    <cellStyle name="Date 2 4 2" xfId="557" xr:uid="{663ADFEC-2AEB-4BFB-9FCB-CDB8E5133A8F}"/>
    <cellStyle name="Date 2 5" xfId="558" xr:uid="{77CEA80D-8E94-42D9-A80F-D73ACEA013C4}"/>
    <cellStyle name="Date 2 5 2" xfId="559" xr:uid="{926F2DA4-1DD6-4AE3-808D-0227E25F795F}"/>
    <cellStyle name="Date 2 6" xfId="560" xr:uid="{039F2B78-B1DC-4A4C-8CAC-1044D39E31FB}"/>
    <cellStyle name="Date 2 6 2" xfId="561" xr:uid="{ECF1E8BE-F2A5-45AB-86C7-2E9583239053}"/>
    <cellStyle name="Date 2 7" xfId="562" xr:uid="{CA4644A4-38D9-471B-B1FA-960809CA04C1}"/>
    <cellStyle name="Date 20" xfId="563" xr:uid="{C64E9309-DAD4-4E5A-AEC6-CE07814C079D}"/>
    <cellStyle name="Date 21" xfId="564" xr:uid="{CD371615-6833-46C3-8463-856594A5DC14}"/>
    <cellStyle name="Date 22" xfId="565" xr:uid="{6C9060F6-57F5-4F0C-A328-92CD742BA4E8}"/>
    <cellStyle name="Date 23" xfId="566" xr:uid="{70BA831C-591B-477D-82CF-F402AAF1389F}"/>
    <cellStyle name="Date 24" xfId="567" xr:uid="{A5C1F0C5-6D8E-49C5-BC9C-758BD55686EC}"/>
    <cellStyle name="Date 25" xfId="568" xr:uid="{37891671-E86F-4F46-82E8-9870441EC579}"/>
    <cellStyle name="Date 26" xfId="569" xr:uid="{8CC0B3AD-680B-4D80-A69E-FE500163F03E}"/>
    <cellStyle name="Date 27" xfId="570" xr:uid="{2076A526-66FC-4FDB-8796-4A97B3EE47B7}"/>
    <cellStyle name="Date 28" xfId="571" xr:uid="{41B5A68E-0173-4DA0-8402-E355D3F47959}"/>
    <cellStyle name="Date 29" xfId="572" xr:uid="{80128F61-CE0C-4773-AE1A-5852C87835BB}"/>
    <cellStyle name="Date 3" xfId="573" xr:uid="{2C436DCE-87E6-4387-A876-F8AA9B9D6732}"/>
    <cellStyle name="Date 3 2" xfId="574" xr:uid="{57307186-7B5F-491A-B13C-9D55BA456D16}"/>
    <cellStyle name="Date 30" xfId="575" xr:uid="{E4DC564C-8C20-41AB-9E10-CBD2D178212B}"/>
    <cellStyle name="Date 31" xfId="576" xr:uid="{FB955882-F75B-4F07-99C2-EA5D7D66661C}"/>
    <cellStyle name="Date 31 2" xfId="577" xr:uid="{684994FD-6D68-4E4A-AC8F-549B9AC8A3F7}"/>
    <cellStyle name="Date 31 3" xfId="578" xr:uid="{813AD0D9-C6E3-438C-830A-DB39E238604E}"/>
    <cellStyle name="Date 31 4" xfId="579" xr:uid="{35F0B159-B45F-44F4-9900-AEB36B9AC5F0}"/>
    <cellStyle name="Date 32" xfId="580" xr:uid="{4D9C4313-0872-4780-833C-3DEEFF96386A}"/>
    <cellStyle name="Date 32 2" xfId="581" xr:uid="{EFA359CC-FB30-4947-88BB-F7EBA3172100}"/>
    <cellStyle name="Date 32 3" xfId="582" xr:uid="{5440ACF8-2FB9-43BF-BD47-E29C73F07D5B}"/>
    <cellStyle name="Date 32 4" xfId="583" xr:uid="{9CB49A56-60E5-4416-A2B6-E0D72E8B48E4}"/>
    <cellStyle name="Date 33" xfId="584" xr:uid="{4F939511-FB22-469D-B525-A54AE81018D3}"/>
    <cellStyle name="Date 33 2" xfId="585" xr:uid="{60DA47D8-1A4F-42FB-9E65-267E9B8ACBAF}"/>
    <cellStyle name="Date 33 3" xfId="586" xr:uid="{06EC2FE3-65DA-4835-B6D8-D75725635212}"/>
    <cellStyle name="Date 34" xfId="587" xr:uid="{867F7FB2-1081-46F2-9B93-9E60B7A7EF77}"/>
    <cellStyle name="Date 34 2" xfId="588" xr:uid="{39618CCE-D95A-4F7B-AA3D-9C269B05DC32}"/>
    <cellStyle name="Date 35" xfId="589" xr:uid="{A21002C0-2159-493E-B1BC-24A5AF5F5943}"/>
    <cellStyle name="Date 35 2" xfId="590" xr:uid="{665353FA-77DB-4D0A-89F0-312CEFA1A3F1}"/>
    <cellStyle name="Date 36" xfId="591" xr:uid="{DC142242-B718-4BC9-A677-E4865FA65A13}"/>
    <cellStyle name="Date 36 2" xfId="592" xr:uid="{9A0B294D-09D8-48C7-9C47-B400E282AC06}"/>
    <cellStyle name="Date 37" xfId="593" xr:uid="{89CF6B83-B7A5-4382-BBA5-1D1A1C2CF652}"/>
    <cellStyle name="Date 38" xfId="594" xr:uid="{BD6EEEE0-882D-4B49-9FFB-7BB3EE0918F8}"/>
    <cellStyle name="Date 39" xfId="595" xr:uid="{89CF53C5-0026-4051-919C-8BFE762604E5}"/>
    <cellStyle name="Date 4" xfId="596" xr:uid="{691867E5-8293-4393-97DC-A39BD05A66EC}"/>
    <cellStyle name="Date 4 2" xfId="597" xr:uid="{2CF02486-CA17-4603-A40E-3F359B68C0DF}"/>
    <cellStyle name="Date 4 2 2" xfId="598" xr:uid="{96AC3773-7B25-44AF-88F0-702FDA2497E6}"/>
    <cellStyle name="Date 4 3" xfId="599" xr:uid="{62594180-828E-4205-A67C-F3170CEE3FD9}"/>
    <cellStyle name="Date 40" xfId="600" xr:uid="{07ADB156-51D0-4DC0-886B-F37A4B48CF8A}"/>
    <cellStyle name="Date 41" xfId="601" xr:uid="{0E966372-050B-4C68-B996-4E6E39395E8C}"/>
    <cellStyle name="Date 42" xfId="602" xr:uid="{60A26441-FD4E-49A7-A182-0977F757A378}"/>
    <cellStyle name="Date 42 2" xfId="603" xr:uid="{3D7D08D4-EB04-4865-A4AF-81FE9F9A3CDA}"/>
    <cellStyle name="Date 43" xfId="604" xr:uid="{9016640C-34CC-45BD-BDD4-AD050D93556E}"/>
    <cellStyle name="Date 5" xfId="605" xr:uid="{DB6F6323-1AF5-4135-99CE-842D803D9E73}"/>
    <cellStyle name="Date 5 2" xfId="606" xr:uid="{7D3D7AE2-73F2-43E6-8842-DFA79405281B}"/>
    <cellStyle name="Date 6" xfId="607" xr:uid="{D502611B-9111-4F61-B615-5BCDD9610364}"/>
    <cellStyle name="Date 6 2" xfId="608" xr:uid="{C49E3C7F-6ABE-4152-9792-718316663A2A}"/>
    <cellStyle name="Date 7" xfId="609" xr:uid="{196D8805-D880-42C6-9BDD-06F5D3539CDE}"/>
    <cellStyle name="Date 7 2" xfId="610" xr:uid="{4AD52A34-E221-4040-BA7C-51EDE6E0CC90}"/>
    <cellStyle name="Date 8" xfId="611" xr:uid="{1FD69BBA-AD5F-477B-B853-A4F2333E03B4}"/>
    <cellStyle name="Date 8 2" xfId="612" xr:uid="{473BAB89-9242-4509-8044-703906A3589F}"/>
    <cellStyle name="Date 9" xfId="613" xr:uid="{D07C2B6A-40D8-4CFB-89C8-697419E286FB}"/>
    <cellStyle name="Date 9 2" xfId="614" xr:uid="{90142E18-6210-48B4-8C51-4D7A2AE3F295}"/>
    <cellStyle name="Date 9 2 2" xfId="615" xr:uid="{57393049-F375-4F88-A6D0-2088CBF37FB8}"/>
    <cellStyle name="Date 9 3" xfId="616" xr:uid="{8D404CF6-16FA-40CA-85DD-A3ACEAF5EECA}"/>
    <cellStyle name="Date 9 3 2" xfId="617" xr:uid="{65F37F83-7F17-479C-AC4E-BFFC57E08099}"/>
    <cellStyle name="Date 9 4" xfId="618" xr:uid="{8733E1DE-250C-49D4-8D9C-2CABEF10A314}"/>
    <cellStyle name="Date 9 4 2" xfId="619" xr:uid="{D9F06890-ABF3-4948-89D9-87A5C0DFA518}"/>
    <cellStyle name="Date 9 5" xfId="620" xr:uid="{B85B9F06-ED3D-49E6-AF57-38820C706516}"/>
    <cellStyle name="Entered" xfId="621" xr:uid="{D982FE05-CD85-490A-92E9-525C994AA4BD}"/>
    <cellStyle name="Fixed" xfId="622" xr:uid="{70D0ED1F-4CB4-4844-80A4-1A9368EE113E}"/>
    <cellStyle name="Fixed 10" xfId="623" xr:uid="{50BA2957-7729-463D-A272-4EC51BE63BA7}"/>
    <cellStyle name="Fixed 10 10" xfId="624" xr:uid="{83532E40-C083-44BC-A6B6-C78D4C02F4D9}"/>
    <cellStyle name="Fixed 10 11" xfId="625" xr:uid="{424E4833-31CB-4646-B7F1-20830A3A837C}"/>
    <cellStyle name="Fixed 10 12" xfId="626" xr:uid="{29CE9586-15DB-4F04-87F1-96F8C0E59969}"/>
    <cellStyle name="Fixed 10 13" xfId="627" xr:uid="{2B6073B8-852A-463D-92B5-2A3164C400DA}"/>
    <cellStyle name="Fixed 10 14" xfId="628" xr:uid="{3B651ECC-C795-45AE-A87B-14723E60F4BF}"/>
    <cellStyle name="Fixed 10 15" xfId="629" xr:uid="{11ED6693-9E49-4398-9B93-142D9EC7714A}"/>
    <cellStyle name="Fixed 10 16" xfId="630" xr:uid="{5936838F-ED46-446D-946B-CE5852F869E7}"/>
    <cellStyle name="Fixed 10 17" xfId="631" xr:uid="{B13EA835-E5F9-4059-864A-FEFE69DBE910}"/>
    <cellStyle name="Fixed 10 18" xfId="632" xr:uid="{4B127522-FC86-4891-ADFE-4FE0EC752592}"/>
    <cellStyle name="Fixed 10 19" xfId="633" xr:uid="{E4A6D25B-32F6-4E8F-A40E-853982EAA260}"/>
    <cellStyle name="Fixed 10 2" xfId="634" xr:uid="{A5E9DA49-C102-4025-90EA-F8F72193F267}"/>
    <cellStyle name="Fixed 10 20" xfId="635" xr:uid="{7F18685C-9C7A-425F-AAE9-E1996D3BAB5F}"/>
    <cellStyle name="Fixed 10 21" xfId="636" xr:uid="{1BD1FCFF-F739-4051-9F00-AAB74D79479D}"/>
    <cellStyle name="Fixed 10 22" xfId="637" xr:uid="{18306CAE-AABE-4299-85F5-A62BB6028CF2}"/>
    <cellStyle name="Fixed 10 23" xfId="638" xr:uid="{AAD682D2-8E09-4054-B047-28486A19E3D5}"/>
    <cellStyle name="Fixed 10 24" xfId="639" xr:uid="{7EB850B8-37E3-4CB9-BF5D-5B5EB5AC17CF}"/>
    <cellStyle name="Fixed 10 25" xfId="640" xr:uid="{04350310-8317-4471-9FAB-010B2CDEAA1D}"/>
    <cellStyle name="Fixed 10 26" xfId="641" xr:uid="{ADB7AF01-8889-46A6-8AAE-C5419DBEAD3D}"/>
    <cellStyle name="Fixed 10 3" xfId="642" xr:uid="{8E9DC1D5-459F-4913-A588-78E02F9F2916}"/>
    <cellStyle name="Fixed 10 4" xfId="643" xr:uid="{45C1F6F9-BB82-4CE6-9EBB-44531108CF2A}"/>
    <cellStyle name="Fixed 10 5" xfId="644" xr:uid="{48A4BC19-3E46-45FD-A3C8-D55584089E30}"/>
    <cellStyle name="Fixed 10 6" xfId="645" xr:uid="{C378B7BE-0ABF-4231-B578-D6771824DE1F}"/>
    <cellStyle name="Fixed 10 7" xfId="646" xr:uid="{01ECDBE4-A286-4ED2-8D6B-66C7DA3254EA}"/>
    <cellStyle name="Fixed 10 8" xfId="647" xr:uid="{4865CEB4-B0F1-4EBE-89A5-E21293FC1ABA}"/>
    <cellStyle name="Fixed 10 9" xfId="648" xr:uid="{7E768372-D8A0-4CCF-952D-0C65A3846DCF}"/>
    <cellStyle name="Fixed 11" xfId="649" xr:uid="{E974570D-8305-4A5D-A884-E6104ADF5EB2}"/>
    <cellStyle name="Fixed 11 2" xfId="650" xr:uid="{21309BA3-054F-4605-9716-61A5BE2A33F4}"/>
    <cellStyle name="Fixed 11 3" xfId="651" xr:uid="{63854A54-9ADF-4B4E-87D2-0D0308C08756}"/>
    <cellStyle name="Fixed 11 4" xfId="652" xr:uid="{4AB1A08D-5E97-4380-A088-5B97110E954B}"/>
    <cellStyle name="Fixed 11 5" xfId="653" xr:uid="{36193959-BA9E-4038-9A72-6F17C1AAC8EF}"/>
    <cellStyle name="Fixed 11 6" xfId="654" xr:uid="{84253BDB-73D9-42B0-BD79-C5F8C2D48509}"/>
    <cellStyle name="Fixed 11 7" xfId="655" xr:uid="{4BBB01B0-7427-48E8-B41F-33EEEE99E286}"/>
    <cellStyle name="Fixed 12" xfId="656" xr:uid="{2FD78FFF-796A-46A5-972C-189ADFBDB832}"/>
    <cellStyle name="Fixed 12 2" xfId="657" xr:uid="{DD090D7C-A8DE-44D5-92BD-A08142CEE004}"/>
    <cellStyle name="Fixed 12 2 2" xfId="658" xr:uid="{B28883A8-E9AA-468A-B115-B1048953DC08}"/>
    <cellStyle name="Fixed 12 3" xfId="659" xr:uid="{1C6E0739-09EE-4FF2-A3F6-3878EF814CC8}"/>
    <cellStyle name="Fixed 12 3 2" xfId="660" xr:uid="{5E70B6B1-477C-48DA-8E8C-300D92D21232}"/>
    <cellStyle name="Fixed 12 4" xfId="661" xr:uid="{49BF0D42-91D3-47B1-8360-E81B90D31169}"/>
    <cellStyle name="Fixed 13" xfId="662" xr:uid="{AF6298E7-84B1-4369-B49D-B6C0E38096B7}"/>
    <cellStyle name="Fixed 13 2" xfId="663" xr:uid="{66C98971-BAC1-4BEA-8BB4-F27422EF1FF3}"/>
    <cellStyle name="Fixed 14" xfId="664" xr:uid="{DA27A779-1346-4D23-B926-D14F4A619BDE}"/>
    <cellStyle name="Fixed 14 2" xfId="665" xr:uid="{EE850C72-907E-4D48-ACD7-26B14DCB4E9E}"/>
    <cellStyle name="Fixed 15" xfId="666" xr:uid="{7EFAD40C-937D-4376-8BC3-BD089F8311C5}"/>
    <cellStyle name="Fixed 15 2" xfId="667" xr:uid="{9697D673-0909-461E-8DE9-9C38E647BEDD}"/>
    <cellStyle name="Fixed 16" xfId="668" xr:uid="{38045E8D-7966-49EC-A2D2-9ED2277BFB86}"/>
    <cellStyle name="Fixed 16 2" xfId="669" xr:uid="{B88E51EA-9929-4CAF-ACC4-0F5E31B5800A}"/>
    <cellStyle name="Fixed 17" xfId="670" xr:uid="{66042278-5615-4D34-A4D1-8C399096E125}"/>
    <cellStyle name="Fixed 17 2" xfId="671" xr:uid="{B638733C-AD4C-456F-BE47-4EDF2C880E5D}"/>
    <cellStyle name="Fixed 18" xfId="672" xr:uid="{1CD04CE2-BCFB-4C2F-AD2B-7F862E6C936D}"/>
    <cellStyle name="Fixed 19" xfId="673" xr:uid="{FB000F44-34BA-47E9-82FC-2F1A0BF5EE52}"/>
    <cellStyle name="Fixed 2" xfId="674" xr:uid="{46E5E609-DF59-4AD4-8FD3-F6CF52C5DA68}"/>
    <cellStyle name="Fixed 2 2" xfId="675" xr:uid="{7ED85B36-D0D8-4209-B40C-59DF7A876165}"/>
    <cellStyle name="Fixed 2 2 2" xfId="676" xr:uid="{8B731527-8FEC-42C5-AD27-48AE073F2CD3}"/>
    <cellStyle name="Fixed 2 3" xfId="677" xr:uid="{6883C8B5-15C1-45BC-909B-10E34892165C}"/>
    <cellStyle name="Fixed 2 3 2" xfId="678" xr:uid="{4BE69AAC-71FB-4989-816D-03412BEC9250}"/>
    <cellStyle name="Fixed 2 4" xfId="679" xr:uid="{0F51C40A-B0F1-4D64-9B0F-C509D103BF88}"/>
    <cellStyle name="Fixed 2 4 2" xfId="680" xr:uid="{469407EE-0865-468A-AB21-F265D822441B}"/>
    <cellStyle name="Fixed 2 5" xfId="681" xr:uid="{2676DAD9-679D-4163-AC43-76C9FA21E16A}"/>
    <cellStyle name="Fixed 2 5 2" xfId="682" xr:uid="{A95EF633-3DA1-44A7-B81D-F6F4D4E6A987}"/>
    <cellStyle name="Fixed 2 6" xfId="683" xr:uid="{77DD0BFE-732D-4C43-A9CB-7621E39D0311}"/>
    <cellStyle name="Fixed 2 6 2" xfId="684" xr:uid="{56E37B9A-1FA7-494E-AB59-EEAD6924D417}"/>
    <cellStyle name="Fixed 2 7" xfId="685" xr:uid="{3D65033C-7757-4950-80B2-9392A2BCB05A}"/>
    <cellStyle name="Fixed 20" xfId="686" xr:uid="{52A6ED7B-D9E5-4F7A-8723-74B2CA45E26E}"/>
    <cellStyle name="Fixed 21" xfId="687" xr:uid="{EA230848-B072-4880-9BC0-092556501220}"/>
    <cellStyle name="Fixed 22" xfId="688" xr:uid="{EC978F71-3A86-4258-97E2-7C365A72F8D1}"/>
    <cellStyle name="Fixed 23" xfId="689" xr:uid="{71E36624-AA7D-454B-B02F-CEFCAFAEC6AE}"/>
    <cellStyle name="Fixed 24" xfId="690" xr:uid="{A26FA937-824B-4D8B-BFF7-4B85FC8E3E16}"/>
    <cellStyle name="Fixed 25" xfId="691" xr:uid="{B90D39A8-74B4-459C-A3AF-4D9F41532126}"/>
    <cellStyle name="Fixed 26" xfId="692" xr:uid="{2E24D0D1-D515-4D9E-8EFE-140D27E47251}"/>
    <cellStyle name="Fixed 27" xfId="693" xr:uid="{80792CF9-2E39-4EB4-B129-B72742BBC024}"/>
    <cellStyle name="Fixed 28" xfId="694" xr:uid="{C5D4FFFA-7ACB-4F7F-8F17-D36E790F6079}"/>
    <cellStyle name="Fixed 29" xfId="695" xr:uid="{784748A0-9F17-4D15-A2DC-E424B625B5D6}"/>
    <cellStyle name="Fixed 3" xfId="696" xr:uid="{212A7EA8-2B54-4EA1-8E3C-88FD46708C8D}"/>
    <cellStyle name="Fixed 3 2" xfId="697" xr:uid="{E48CF96D-EA84-40CC-9DAE-AF17A42010EA}"/>
    <cellStyle name="Fixed 30" xfId="698" xr:uid="{12909E28-B30C-43AB-9929-99780240779B}"/>
    <cellStyle name="Fixed 31" xfId="699" xr:uid="{26E83ABA-E88F-461C-82F8-EFD57329B602}"/>
    <cellStyle name="Fixed 31 2" xfId="700" xr:uid="{DA419BC4-5FC0-48EB-8462-0C6EE817C149}"/>
    <cellStyle name="Fixed 31 3" xfId="701" xr:uid="{CF524F98-1FA4-41EE-9CFE-B1217C02DFF4}"/>
    <cellStyle name="Fixed 31 4" xfId="702" xr:uid="{9848B913-2523-42A8-9417-367261E405D8}"/>
    <cellStyle name="Fixed 32" xfId="703" xr:uid="{2CC561AF-78A9-464E-A536-14AB64B78CF7}"/>
    <cellStyle name="Fixed 32 2" xfId="704" xr:uid="{814F2139-0B93-4E6B-A761-ED6B4FDA8C24}"/>
    <cellStyle name="Fixed 32 3" xfId="705" xr:uid="{A0842CEE-5543-4974-96A6-7094270FEAE6}"/>
    <cellStyle name="Fixed 32 4" xfId="706" xr:uid="{03AC06BC-3326-41F4-9230-1C98A462781B}"/>
    <cellStyle name="Fixed 33" xfId="707" xr:uid="{88C42430-7C63-4AE6-AA2A-88C5136297D1}"/>
    <cellStyle name="Fixed 33 2" xfId="708" xr:uid="{005C6AC7-7292-4250-B3CA-B6DA038B848D}"/>
    <cellStyle name="Fixed 33 3" xfId="709" xr:uid="{9497829F-95C1-4883-B6D0-78B0DE7DABE2}"/>
    <cellStyle name="Fixed 34" xfId="710" xr:uid="{CA273D05-FCA0-4F57-8071-2FC83FA53ACC}"/>
    <cellStyle name="Fixed 34 2" xfId="711" xr:uid="{8B8084E1-9686-41CD-B436-7E3A9BFBB54F}"/>
    <cellStyle name="Fixed 35" xfId="712" xr:uid="{C18BE0CD-CEB1-4C0E-927D-F7C04D22D598}"/>
    <cellStyle name="Fixed 35 2" xfId="713" xr:uid="{C05C568B-1F6A-45B2-A6A9-5E88B18D4395}"/>
    <cellStyle name="Fixed 36" xfId="714" xr:uid="{2027A86E-8F1E-437A-BB0F-BB8DC37604C5}"/>
    <cellStyle name="Fixed 36 2" xfId="715" xr:uid="{8FDC2341-6AC3-4E19-888B-68397D460177}"/>
    <cellStyle name="Fixed 37" xfId="716" xr:uid="{E73134B6-7F9F-45BE-A930-FFC15C7B2D67}"/>
    <cellStyle name="Fixed 38" xfId="717" xr:uid="{BCE0684A-CEAE-43C6-AA0A-66D9F69D51EF}"/>
    <cellStyle name="Fixed 39" xfId="718" xr:uid="{A9E66316-F2D8-4DE0-8951-3048428D4E5A}"/>
    <cellStyle name="Fixed 4" xfId="719" xr:uid="{CFC9D0AC-1C4A-4977-B057-12F0E204BB67}"/>
    <cellStyle name="Fixed 4 2" xfId="720" xr:uid="{245F21C7-90F7-4317-BA34-AA63C08DEF3A}"/>
    <cellStyle name="Fixed 4 2 2" xfId="721" xr:uid="{B208F2AA-A1C0-47B4-AC33-BA65C0E3D37B}"/>
    <cellStyle name="Fixed 4 3" xfId="722" xr:uid="{643F74FC-6964-49B7-94B2-8697B354B0AA}"/>
    <cellStyle name="Fixed 40" xfId="723" xr:uid="{71A44CE5-A9DC-4AB0-A47E-6B9632B3F44B}"/>
    <cellStyle name="Fixed 41" xfId="724" xr:uid="{478AABD6-E040-4FE3-9EDD-BD6C6CDB13D6}"/>
    <cellStyle name="Fixed 42" xfId="725" xr:uid="{342D5C77-7C90-466D-B65A-DBB82D0D8DFE}"/>
    <cellStyle name="Fixed 42 2" xfId="726" xr:uid="{631BA748-E582-4A35-A8F9-A5259541A16E}"/>
    <cellStyle name="Fixed 43" xfId="727" xr:uid="{864C36C3-3C1B-4ACC-9B23-04C8B0AFC0A1}"/>
    <cellStyle name="Fixed 5" xfId="728" xr:uid="{C4F8FF8F-4866-474B-AAEC-915A64D2E64A}"/>
    <cellStyle name="Fixed 5 2" xfId="729" xr:uid="{5F417515-F4AB-4BAB-AE30-03FD75C663F7}"/>
    <cellStyle name="Fixed 6" xfId="730" xr:uid="{8C6341B3-A0B8-4BC1-875B-A22FF4AF3647}"/>
    <cellStyle name="Fixed 6 2" xfId="731" xr:uid="{F52195A5-8E17-42E7-94A2-08C9ABB1143C}"/>
    <cellStyle name="Fixed 7" xfId="732" xr:uid="{0BB140D6-9C3D-4EA4-8E3A-3C422F503FA8}"/>
    <cellStyle name="Fixed 7 2" xfId="733" xr:uid="{62C612F6-F8F7-48F1-99EF-2A70EEA3B918}"/>
    <cellStyle name="Fixed 8" xfId="734" xr:uid="{DEC3FF8E-89C9-4820-A175-94FD72B3C2B3}"/>
    <cellStyle name="Fixed 8 2" xfId="735" xr:uid="{DE208257-127F-470D-B728-79A5B179CCFF}"/>
    <cellStyle name="Fixed 9" xfId="736" xr:uid="{F233FB95-7F04-4A4C-83CD-CFD8B7F7D6B0}"/>
    <cellStyle name="Fixed 9 2" xfId="737" xr:uid="{E5D107CB-A252-4614-B784-AA49BB4BDBD6}"/>
    <cellStyle name="Fixed 9 2 2" xfId="738" xr:uid="{1C9E8008-80C3-48CB-A63C-4838BFF02187}"/>
    <cellStyle name="Fixed 9 3" xfId="739" xr:uid="{3EE3ED2B-1FFE-4A20-BD8E-73F5FFAB6637}"/>
    <cellStyle name="Fixed 9 3 2" xfId="740" xr:uid="{14E11FCD-52E4-4252-9B2A-E8BE15F8EC60}"/>
    <cellStyle name="Fixed 9 4" xfId="741" xr:uid="{757C88CE-7319-486E-90C4-4C4AA07861B7}"/>
    <cellStyle name="Fixed 9 4 2" xfId="742" xr:uid="{85333E91-89C2-475F-A4A6-FD54E7BEDFE2}"/>
    <cellStyle name="Fixed 9 5" xfId="743" xr:uid="{C1E8EC56-419E-4795-9D84-5AC86B6C1B06}"/>
    <cellStyle name="-Footnote_&amp;_Source" xfId="744" xr:uid="{C79FA269-0026-436A-9B34-AA2BD578F4B6}"/>
    <cellStyle name="Grey" xfId="745" xr:uid="{FCE7F10D-6A20-4E5E-AC42-BE136B8AC46D}"/>
    <cellStyle name="Header1" xfId="746" xr:uid="{018FBE49-9B35-4901-98AB-9EE4838B7530}"/>
    <cellStyle name="Header2" xfId="747" xr:uid="{1B3E26B9-1464-4E33-B88E-3E45D35417A8}"/>
    <cellStyle name="Heading 1 10" xfId="748" xr:uid="{807EE2ED-0073-45A3-94D5-B445A7F307BC}"/>
    <cellStyle name="Heading 1 2" xfId="749" xr:uid="{D2112734-2B19-46A5-9951-5DE18ADA5AC9}"/>
    <cellStyle name="Heading 1 2 2" xfId="750" xr:uid="{4C750549-0F09-4F34-809C-D3C984926302}"/>
    <cellStyle name="Heading 1 2 3" xfId="751" xr:uid="{67E28106-A14F-4A3F-A76F-FD8A03E839AC}"/>
    <cellStyle name="Heading 1 2 4" xfId="752" xr:uid="{1E8D5D87-6A97-4BBC-9C78-EC9413E30F5E}"/>
    <cellStyle name="Heading 1 2 5" xfId="753" xr:uid="{11C84670-5295-43A8-843C-283304110062}"/>
    <cellStyle name="Heading 1 2 6" xfId="754" xr:uid="{7C3F2CB2-6C7C-408A-B402-2DAADDE73474}"/>
    <cellStyle name="Heading 1 3" xfId="755" xr:uid="{F9F117E7-538A-44AD-957C-87A1BEB838D8}"/>
    <cellStyle name="Heading 1 4" xfId="756" xr:uid="{49E48039-6628-45D9-BAF8-0ABDAC6D85C9}"/>
    <cellStyle name="Heading 1 5" xfId="757" xr:uid="{FA425756-165E-4DDA-A396-60A0694A7864}"/>
    <cellStyle name="Heading 1 6" xfId="758" xr:uid="{DB668FE1-8731-4FB1-9555-A8F39F43A508}"/>
    <cellStyle name="Heading 1 7" xfId="759" xr:uid="{B9B7E13D-E033-4179-9225-CEE5248F76CC}"/>
    <cellStyle name="Heading 1 8" xfId="760" xr:uid="{075D109E-1074-4A4E-91F2-A9B533ED4942}"/>
    <cellStyle name="Heading 1 9" xfId="761" xr:uid="{77003588-82F2-48F8-8B7A-AAFAD95A0345}"/>
    <cellStyle name="Heading 2 10" xfId="762" xr:uid="{B4BA7671-F809-4FB2-B0F7-0A2A8CA82FAD}"/>
    <cellStyle name="Heading 2 2" xfId="763" xr:uid="{E9C0E035-6E3E-4258-9B50-989773080800}"/>
    <cellStyle name="Heading 2 2 2" xfId="764" xr:uid="{1D4DE29B-42FA-40C4-B39C-95D502FB5598}"/>
    <cellStyle name="Heading 2 2 3" xfId="765" xr:uid="{8E7ADCF6-FC9E-48A4-B358-F2BA2C2F0614}"/>
    <cellStyle name="Heading 2 2 4" xfId="766" xr:uid="{6F3D4070-DDDD-4AE3-96F9-560BA381F757}"/>
    <cellStyle name="Heading 2 2 5" xfId="767" xr:uid="{479325BB-0ADA-4D59-820C-A405CDCC89CF}"/>
    <cellStyle name="Heading 2 2 6" xfId="768" xr:uid="{D291B144-4960-4FEC-814E-65EB7E671FD9}"/>
    <cellStyle name="Heading 2 3" xfId="769" xr:uid="{0F0124CD-1792-422C-84A4-D68632EB4389}"/>
    <cellStyle name="Heading 2 4" xfId="770" xr:uid="{CF8635BE-47E0-4870-AF6A-FBDC63EC5819}"/>
    <cellStyle name="Heading 2 5" xfId="771" xr:uid="{B5CB34F9-9955-4B5A-BE67-71CC9FEACFF7}"/>
    <cellStyle name="Heading 2 6" xfId="772" xr:uid="{4780EFCC-5149-43BE-B618-B621A77D3F4F}"/>
    <cellStyle name="Heading 2 7" xfId="773" xr:uid="{BA0D9A9B-3FCB-4651-BE7D-C526B09E7613}"/>
    <cellStyle name="Heading 2 8" xfId="774" xr:uid="{E9DA6E36-6B35-48A1-BF15-D1501F999C79}"/>
    <cellStyle name="Heading 2 9" xfId="775" xr:uid="{01481D44-6F21-49F9-8548-67CEE5A48343}"/>
    <cellStyle name="Hyperlink 2" xfId="776" xr:uid="{FB85B277-CBB6-4BF8-AC6E-A0A91A79BA1D}"/>
    <cellStyle name="InfoDataColumn" xfId="777" xr:uid="{A7D6C48A-CBD1-4AF4-BBDF-9EC975302628}"/>
    <cellStyle name="InfoDataRow" xfId="778" xr:uid="{7959F032-34F1-4E58-8DF4-51D74024B1D3}"/>
    <cellStyle name="InfoLabelColumn" xfId="779" xr:uid="{387DC3EC-4F73-4E20-AEA8-E75790B0684B}"/>
    <cellStyle name="InfoLabelRow" xfId="780" xr:uid="{38FA440E-C793-45EE-8251-23B841C79B0A}"/>
    <cellStyle name="InfolDataColumn" xfId="781" xr:uid="{8FB4C88B-9762-48BC-8CF6-904A248BD956}"/>
    <cellStyle name="InformationalData" xfId="782" xr:uid="{69FFF708-A58B-4E02-90DB-6E3C2CD0598D}"/>
    <cellStyle name="InformationalLabel" xfId="783" xr:uid="{24D4DEB0-BE80-4EBE-B067-CF49988D27F7}"/>
    <cellStyle name="InformationalLabelTop" xfId="784" xr:uid="{942317A0-FAF2-4C3A-A891-FF40837FA02F}"/>
    <cellStyle name="InputData" xfId="785" xr:uid="{48D8AD6F-8E96-47C3-93E8-B6C4BE3AE731}"/>
    <cellStyle name="InputDataColumn" xfId="786" xr:uid="{44949E82-805B-433B-8AC5-AD1D10859326}"/>
    <cellStyle name="InputDataRow" xfId="787" xr:uid="{067ABC1A-59D7-4A98-B3C4-5D1370639365}"/>
    <cellStyle name="InputLabel" xfId="788" xr:uid="{1D3293EF-AC4B-417E-9B32-0CDA6076AAC6}"/>
    <cellStyle name="InputLabelColumn" xfId="789" xr:uid="{24557A4F-0298-4A35-8524-4F79222B844A}"/>
    <cellStyle name="InputLabelRow" xfId="790" xr:uid="{DFC44DB7-F475-4A50-8F34-90A41AB9F5FE}"/>
    <cellStyle name="InputLabelTop" xfId="791" xr:uid="{C14A4B8E-C61C-4E54-A977-E189B31B2D7A}"/>
    <cellStyle name="IntermediateData" xfId="792" xr:uid="{D9079B7A-7BB3-40C9-BDDC-1C8163F642BE}"/>
    <cellStyle name="IntermediateDataColumn" xfId="793" xr:uid="{3E52B8EF-9B5D-4EAD-A005-EC491EAE5CD1}"/>
    <cellStyle name="IntermediateDataColumn 2" xfId="794" xr:uid="{57B5B272-D590-403A-8A06-FD8798D33E49}"/>
    <cellStyle name="IntermediateDataColumn 3" xfId="795" xr:uid="{FD9668E1-6E4A-45C7-AD28-1B56DC9FBDDE}"/>
    <cellStyle name="IntermediateDataColumn 4" xfId="796" xr:uid="{95E55628-202C-4402-9ACD-6800DE0557B2}"/>
    <cellStyle name="IntermediateDataRow" xfId="797" xr:uid="{C4B05879-6F16-410B-8C8E-6261CFDC1FD2}"/>
    <cellStyle name="IntermediateLabel" xfId="798" xr:uid="{50DCF925-F96D-4060-A626-A3C838B12431}"/>
    <cellStyle name="IntermediateLabelColumn" xfId="799" xr:uid="{3A4A39B9-FBD4-4B92-A073-B398D6D8FAAB}"/>
    <cellStyle name="IntermediateLabelRow" xfId="800" xr:uid="{B6239B5E-925C-482A-AD31-1A9B743731F2}"/>
    <cellStyle name="InvalidCell" xfId="801" xr:uid="{81A4DF36-8C3D-4BA8-8C3F-181742122A42}"/>
    <cellStyle name="NewSheet" xfId="802" xr:uid="{0479617A-393B-4CFE-9026-0390A9CD29DA}"/>
    <cellStyle name="NewSheet 10" xfId="803" xr:uid="{D53E5781-4EB7-4308-A436-B27818DAF175}"/>
    <cellStyle name="NewSheet 2" xfId="804" xr:uid="{A4EA5C1F-FD0E-4328-A759-ABEEC23F0D4E}"/>
    <cellStyle name="NewSheet 2 2" xfId="805" xr:uid="{F63A2327-C35D-4291-AA6C-B423CFBFFAE2}"/>
    <cellStyle name="NewSheet 2 3" xfId="806" xr:uid="{84EE14D0-21BC-4296-85D5-DA6B7FD51769}"/>
    <cellStyle name="NewSheet 2 4" xfId="807" xr:uid="{EF8D6CFA-D04E-4858-8291-1588FBB20D17}"/>
    <cellStyle name="NewSheet 2 5" xfId="808" xr:uid="{CBE544C5-147F-4258-A639-229B21C9CA46}"/>
    <cellStyle name="NewSheet 2 6" xfId="809" xr:uid="{B123B81C-03FB-4A39-93ED-4E89669FEAF6}"/>
    <cellStyle name="NewSheet 3" xfId="810" xr:uid="{694F0074-431D-4C05-B4E9-DE15EF788379}"/>
    <cellStyle name="NewSheet 4" xfId="811" xr:uid="{6328D952-E3F7-44F5-AAAB-77189ECE53F4}"/>
    <cellStyle name="NewSheet 4 2" xfId="812" xr:uid="{E9238101-22A4-42C7-BC2A-209988307036}"/>
    <cellStyle name="NewSheet 5" xfId="813" xr:uid="{0AB433FB-CB45-44A9-885B-A91EF8815A47}"/>
    <cellStyle name="NewSheet 6" xfId="814" xr:uid="{12A31F3F-4261-45F1-B416-43F9F536739D}"/>
    <cellStyle name="NewSheet 7" xfId="815" xr:uid="{52F28D0B-61F4-42A2-BB43-BD2223591BBC}"/>
    <cellStyle name="NewSheet 8" xfId="816" xr:uid="{3159EB6D-7D84-4E7D-98C7-13BA84CC19C4}"/>
    <cellStyle name="NewSheet 9" xfId="817" xr:uid="{DBB20359-0DF7-45A8-A2B9-C97F5B1B4FB7}"/>
    <cellStyle name="Normal" xfId="0" builtinId="0"/>
    <cellStyle name="Normal - Style1" xfId="818" xr:uid="{1F51945E-9A76-4EB0-B030-7FA515378F7D}"/>
    <cellStyle name="Normal 10" xfId="819" xr:uid="{43F6D2F7-CD16-4EA9-B3AB-F7B6F8C3B216}"/>
    <cellStyle name="Normal 10 2" xfId="820" xr:uid="{4AE69E11-858D-412C-A2B2-73B125E5206B}"/>
    <cellStyle name="Normal 10 3" xfId="821" xr:uid="{3EFACE56-5232-4D9E-9937-B7372E14816E}"/>
    <cellStyle name="Normal 10 5 2 2" xfId="822" xr:uid="{368668B7-B203-45EA-A386-D3E79E085059}"/>
    <cellStyle name="Normal 11" xfId="823" xr:uid="{ACC9B8D4-D4B4-43E6-A47D-029077285E91}"/>
    <cellStyle name="Normal 12" xfId="824" xr:uid="{EDD222D9-A3CC-40AC-9009-8628334A83A8}"/>
    <cellStyle name="Normal 13" xfId="825" xr:uid="{A5342CC8-A5A5-4FA1-A2CB-A1033E2EBA45}"/>
    <cellStyle name="Normal 14" xfId="826" xr:uid="{DCBEC26F-11D8-42D2-8FF6-FD898FCF1164}"/>
    <cellStyle name="Normal 15" xfId="827" xr:uid="{AED8DF10-F3CB-4B7B-B509-6E0DB69BFC66}"/>
    <cellStyle name="Normal 16" xfId="1" xr:uid="{EF4224DB-45BB-4F6B-8628-1B9135F81AE5}"/>
    <cellStyle name="Normal 2" xfId="828" xr:uid="{2D753EF7-7F58-47D0-BB46-888B6B4B75FC}"/>
    <cellStyle name="Normal 2 2" xfId="829" xr:uid="{BE2BA300-F021-40CE-B395-CD25AC8258FE}"/>
    <cellStyle name="Normal 2 2 2" xfId="830" xr:uid="{9FA9982D-0149-4E81-9745-A820C13B9C26}"/>
    <cellStyle name="Normal 2 2 2 2" xfId="3" xr:uid="{A16BCB88-BB3E-4139-8347-844BFC29A8FA}"/>
    <cellStyle name="Normal 2 2 3" xfId="831" xr:uid="{75DD4CB7-2EBB-4579-9291-579A2A37583F}"/>
    <cellStyle name="Normal 2 2 4" xfId="832" xr:uid="{802EE3A1-D8F6-487C-8FDB-0CB0A2A91287}"/>
    <cellStyle name="Normal 2 2 5" xfId="833" xr:uid="{2F670F36-61E5-4000-A8CF-B6EDFB70DDE7}"/>
    <cellStyle name="Normal 2 2 7" xfId="834" xr:uid="{9E23A9BF-583D-48E2-9871-EB18A25A5020}"/>
    <cellStyle name="Normal 2 3" xfId="835" xr:uid="{9CEDCA46-FF10-4047-AD2D-2F6C3DD77EB8}"/>
    <cellStyle name="Normal 2 30 2 2" xfId="836" xr:uid="{4001FA77-D258-42C5-B12A-36F965510750}"/>
    <cellStyle name="Normal 2 4" xfId="837" xr:uid="{CA67BED6-49EC-487A-A593-AC56D84DE574}"/>
    <cellStyle name="Normal 2 5" xfId="838" xr:uid="{85AB0714-9AE5-4972-B9D4-569FB78D3D8E}"/>
    <cellStyle name="Normal 2 6" xfId="839" xr:uid="{2864B9D0-DA97-45A6-8F96-1C0D5334F57B}"/>
    <cellStyle name="Normal 2 7" xfId="840" xr:uid="{61274A28-0A09-4C9E-9991-167D7399C4B4}"/>
    <cellStyle name="Normal 2_Base Correlation Calibration (ITRAXX)" xfId="841" xr:uid="{852E3E3A-9DF7-4943-89E8-CBDEF2B08A8A}"/>
    <cellStyle name="Normal 3" xfId="842" xr:uid="{2A205EE8-03B8-48E2-8E8A-515FE82AA42B}"/>
    <cellStyle name="Normal 3 2" xfId="843" xr:uid="{8909FD94-0FA3-44C1-AF0E-30D9B94FCC1C}"/>
    <cellStyle name="Normal 3 3" xfId="844" xr:uid="{B24A1B93-68A4-4D3B-B33C-F4B7662432CB}"/>
    <cellStyle name="Normal 39" xfId="845" xr:uid="{C0F07204-BD93-4897-8ECE-B21D47E8C972}"/>
    <cellStyle name="Normal 4" xfId="846" xr:uid="{214D8471-D000-4E79-BBA3-08FA6526F9B2}"/>
    <cellStyle name="Normal 4 2" xfId="847" xr:uid="{AC6D00FE-B149-4DD0-98AC-287A0AF33E01}"/>
    <cellStyle name="Normal 4 3" xfId="848" xr:uid="{36FAEBB6-C6BF-4084-911F-003896523F1B}"/>
    <cellStyle name="Normal 5" xfId="849" xr:uid="{4FFE2D00-F508-4D05-8945-B47444E5333B}"/>
    <cellStyle name="Normal 5 2" xfId="850" xr:uid="{A8E1B21A-9FFC-456E-8F75-5BEEFA9F9873}"/>
    <cellStyle name="Normal 6" xfId="851" xr:uid="{0D197E7F-831A-478E-8459-49C06309EFE0}"/>
    <cellStyle name="Normal 7" xfId="852" xr:uid="{69564361-1503-4DE1-917F-273C7D6926F5}"/>
    <cellStyle name="Normal 8" xfId="853" xr:uid="{CFA91A29-E8AF-435C-9ABA-875203D13626}"/>
    <cellStyle name="Normal 9" xfId="854" xr:uid="{919E658B-149D-475F-879A-4EC21FA19E9E}"/>
    <cellStyle name="Note 2" xfId="855" xr:uid="{AFCE22EF-E759-4E4D-98DB-CD24A72F2049}"/>
    <cellStyle name="Note 2 2" xfId="856" xr:uid="{594BBC15-0B4F-44A8-81DD-32CA6309463A}"/>
    <cellStyle name="Note 3" xfId="857" xr:uid="{456265CE-262B-4496-A46F-4BF691FCE0DF}"/>
    <cellStyle name="ObjectDataColumn" xfId="858" xr:uid="{4F43FA0C-F7C2-4FB7-B728-168022C25CE5}"/>
    <cellStyle name="ObjectDataRow" xfId="859" xr:uid="{FBFD3DE2-3665-4762-899A-1128F1CCC6B9}"/>
    <cellStyle name="ObjectLabelColumn" xfId="860" xr:uid="{C7FB5C08-F8EB-4B10-A90A-45BC2890DFDB}"/>
    <cellStyle name="ObjectLabelRow" xfId="861" xr:uid="{60C34D81-3E6B-4B70-99EC-1D749A1161DE}"/>
    <cellStyle name="OutputData" xfId="862" xr:uid="{260EFE0F-2D46-4CD6-9F35-B3C6EF043DCF}"/>
    <cellStyle name="OutputDataColumn" xfId="863" xr:uid="{3CD78644-10A4-437C-BCDE-F4191E62D4FB}"/>
    <cellStyle name="OutputDataRow" xfId="864" xr:uid="{2FB33525-6904-4451-B9BE-96641049F540}"/>
    <cellStyle name="OutputLabel" xfId="865" xr:uid="{23F27596-BD0A-4F1C-ABEE-7521777A31EC}"/>
    <cellStyle name="OutputLabelColumn" xfId="866" xr:uid="{98E58BA3-6463-4590-B9B4-044586293AA2}"/>
    <cellStyle name="OutputLabelRow" xfId="867" xr:uid="{EAC66393-A12C-4948-BBAD-BDB3AAC56877}"/>
    <cellStyle name="PanelLabel" xfId="868" xr:uid="{2B50753B-1CF7-4B4A-9C82-C2E7C7BFD2CB}"/>
    <cellStyle name="Percent 10" xfId="869" xr:uid="{C70CED72-9164-43E6-9844-2D32E7E28801}"/>
    <cellStyle name="Percent 14" xfId="870" xr:uid="{9CD023DA-6007-46B9-8C15-E4E2E605EADA}"/>
    <cellStyle name="Percent 2" xfId="5" xr:uid="{71C1140E-B8C0-45F6-A7C5-6FC93C8954CB}"/>
    <cellStyle name="Percent 2 2" xfId="871" xr:uid="{E97C3688-6CA5-4A2C-8F89-A8C7E3D1AF48}"/>
    <cellStyle name="Percent 2 2 2" xfId="872" xr:uid="{377B5ED0-10E6-497F-9105-4CEAC6A347EC}"/>
    <cellStyle name="Percent 2 2 2 2" xfId="6" xr:uid="{070986E5-0600-4246-810B-526DC7D9FBD3}"/>
    <cellStyle name="Percent 2 2 3" xfId="873" xr:uid="{D9C1D636-C05A-464D-AD11-4165708AAC54}"/>
    <cellStyle name="Percent 2 2 4" xfId="874" xr:uid="{83626DFE-48A6-4D20-A505-3FD19303BB31}"/>
    <cellStyle name="Percent 2 2 5" xfId="875" xr:uid="{87C0A9D0-2524-42FF-A910-550E093874F6}"/>
    <cellStyle name="Percent 2 2 6" xfId="876" xr:uid="{9871643D-3D8E-4B81-82DF-111E3F63746D}"/>
    <cellStyle name="Percent 2 3" xfId="877" xr:uid="{5CD1C27F-A7E6-4A03-A4E4-B8640611E879}"/>
    <cellStyle name="Percent 2 3 2" xfId="878" xr:uid="{734B198C-892C-4A73-B4FE-D26561D1601D}"/>
    <cellStyle name="Percent 2 4" xfId="879" xr:uid="{64BF31CE-5AC7-4B5D-8DC7-2D6887450619}"/>
    <cellStyle name="Percent 2 5" xfId="880" xr:uid="{215BD766-A0CA-4CB5-B5DD-4488A82AFD87}"/>
    <cellStyle name="Percent 2 6" xfId="881" xr:uid="{70520286-578D-4302-80D3-B5BB016D5A04}"/>
    <cellStyle name="Percent 3" xfId="882" xr:uid="{74BA7CCB-998A-48F7-939C-29B76B38B9C0}"/>
    <cellStyle name="Percent 3 9" xfId="883" xr:uid="{D4A653FA-BAB9-4BA2-AD6A-963027A179F8}"/>
    <cellStyle name="Percent 4" xfId="884" xr:uid="{6CA82180-0250-4E6B-AFD6-0C1E9D520114}"/>
    <cellStyle name="Percent 4 2" xfId="885" xr:uid="{B76D7A8A-737C-48FC-9694-4E96BAB0B971}"/>
    <cellStyle name="Percent 4 2 2" xfId="886" xr:uid="{D2A72B51-1F3D-4B32-AA3C-A252AE236851}"/>
    <cellStyle name="Percent 5" xfId="887" xr:uid="{C9B104E1-F905-4A8D-AB53-84DC9D3F617A}"/>
    <cellStyle name="Percent 5 2" xfId="888" xr:uid="{316FB929-8795-487E-9C1C-FD3721E00287}"/>
    <cellStyle name="Percent 5 2 2" xfId="889" xr:uid="{C688D9F5-345B-4D37-95B5-21F255488CF2}"/>
    <cellStyle name="Percent 5 2 3" xfId="890" xr:uid="{D730EF61-EE53-4B4B-BE20-401B61EA4E62}"/>
    <cellStyle name="Percent 6" xfId="891" xr:uid="{AD3B4ED3-AF2D-4FD8-9C5F-D050873BFCA3}"/>
    <cellStyle name="Percent 6 2" xfId="892" xr:uid="{D2C3127D-7E82-4869-83C5-DC1D87001808}"/>
    <cellStyle name="Percent 7" xfId="893" xr:uid="{EB7446D8-E2B8-49B8-AB44-7708F3F5F0A2}"/>
    <cellStyle name="Percent 8" xfId="894" xr:uid="{9778CB3A-1D8C-4DD8-96FE-CC96F39C1C1C}"/>
    <cellStyle name="PersonalDataColumn" xfId="895" xr:uid="{C6CCB4D3-6510-4425-B14A-B7DFFB782D28}"/>
    <cellStyle name="PersonalDataRow" xfId="896" xr:uid="{79BBFA7D-5E84-4945-96A9-B71196F36287}"/>
    <cellStyle name="PersonalLabelColumn" xfId="897" xr:uid="{4E718C7C-3C88-493A-8123-1D78F24FF240}"/>
    <cellStyle name="PersonalLabelRow" xfId="898" xr:uid="{675A691D-5E4A-43E5-83DA-6A74D6B8989F}"/>
    <cellStyle name="Q_Input" xfId="899" xr:uid="{7A1E4376-F890-4DC3-8A5E-1D6E68C251A6}"/>
    <cellStyle name="Q_Input Stripe" xfId="900" xr:uid="{B049FC06-C73B-492B-A5C6-29EDA1890B99}"/>
    <cellStyle name="Q_Label" xfId="901" xr:uid="{DB34DAB4-9475-471A-B67F-B6D22D23C686}"/>
    <cellStyle name="Q_Label 2" xfId="4" xr:uid="{C40FA837-4DF2-4713-9F23-1527D078B543}"/>
    <cellStyle name="Q_Label 3" xfId="902" xr:uid="{DFE2F542-108D-4E83-A6C7-2588D97FDC90}"/>
    <cellStyle name="Q_Label Stripe" xfId="903" xr:uid="{1E3E011E-F407-4C44-B965-4DADF5DE9C8E}"/>
    <cellStyle name="Q_Label Stripe 2" xfId="904" xr:uid="{4AEDC845-280E-429E-AD3E-DC63CC763206}"/>
    <cellStyle name="Q_Label Stripe 2 2" xfId="905" xr:uid="{58FBE3B5-7D5E-489A-8572-8D42499DC7C9}"/>
    <cellStyle name="Q_Object" xfId="7" xr:uid="{EC4AB95E-2F47-4F8A-924C-1ED2F839EF6D}"/>
    <cellStyle name="Q_Object 2" xfId="906" xr:uid="{F438250E-025C-484F-AD5E-5AF8A0496616}"/>
    <cellStyle name="Q_Object 3" xfId="907" xr:uid="{72E937DD-3E18-43BC-83A4-5AE9016BFA45}"/>
    <cellStyle name="Q_Result" xfId="908" xr:uid="{6C934F56-A562-483F-8E0F-69FA31B66504}"/>
    <cellStyle name="Q_Result 2" xfId="909" xr:uid="{51E7DDFE-33A6-4131-8D20-7C2A528B11E5}"/>
    <cellStyle name="Q_Result Header" xfId="910" xr:uid="{C24B752D-3590-433D-BBD8-3835A80FBE68}"/>
    <cellStyle name="Q_Result Header 2" xfId="8" xr:uid="{DBC9156D-6794-4585-9D85-B12796989FC4}"/>
    <cellStyle name="Q_Result Total" xfId="911" xr:uid="{C1E68000-6FEA-4649-9186-248950D42EA9}"/>
    <cellStyle name="Q_Section Description" xfId="912" xr:uid="{D822AB40-C0AD-4099-9E4E-F15354E83DB3}"/>
    <cellStyle name="Q_Section Header" xfId="913" xr:uid="{CC3DE0D4-C84D-44A5-810A-2E6773131BB5}"/>
    <cellStyle name="Q_Section Header 2" xfId="914" xr:uid="{9D47209C-0537-4339-B456-D31D57E02275}"/>
    <cellStyle name="Q_Sheet Header" xfId="915" xr:uid="{FDA0A2F7-CA19-449A-9A42-DB5F634EF735}"/>
    <cellStyle name="Q_Sheet Header 2" xfId="916" xr:uid="{94B14B2B-9AB7-4F30-9A30-A3A290669C2E}"/>
    <cellStyle name="result" xfId="917" xr:uid="{8404F438-F833-43EF-A699-FCB14FFAD0D2}"/>
    <cellStyle name="spreads" xfId="918" xr:uid="{9895334B-CF0C-4A67-9E22-A46221498432}"/>
    <cellStyle name="Style 1" xfId="919" xr:uid="{F057D7E4-529F-42E0-9CEE-D71172C8A486}"/>
    <cellStyle name="Style 1 10" xfId="920" xr:uid="{C88E0192-A0F2-4B19-BA6F-34A91E8CFACD}"/>
    <cellStyle name="Style 1 2" xfId="921" xr:uid="{D4A92D02-FE2E-4E99-9584-86125A878FA2}"/>
    <cellStyle name="Style 1 2 2" xfId="922" xr:uid="{3279BF97-15E4-49C9-8A6C-821A3D885A14}"/>
    <cellStyle name="Style 1 2 3" xfId="923" xr:uid="{25C17FC8-07E8-4E04-8FC4-4CA7308C49F3}"/>
    <cellStyle name="Style 1 2 4" xfId="924" xr:uid="{49D72F64-F0CE-4F3B-8AF0-EE5FF50C1FAF}"/>
    <cellStyle name="Style 1 2 5" xfId="925" xr:uid="{F2950815-4566-4EF1-9528-249DC5D86915}"/>
    <cellStyle name="Style 1 2 6" xfId="926" xr:uid="{D0DCC9B1-1EBB-459A-A32F-D26B9CF3164E}"/>
    <cellStyle name="Style 1 2_CDO Pricer (Bespoke Pricing using Base Correlations)" xfId="927" xr:uid="{5D76C104-FA07-4BC3-B01B-08B265CBBE57}"/>
    <cellStyle name="Style 1 3" xfId="928" xr:uid="{86E6C133-9145-451A-8632-1C4CF4950461}"/>
    <cellStyle name="Style 1 4" xfId="929" xr:uid="{2CEB5DCF-CDAC-46F5-AB9E-3DF17C563D6A}"/>
    <cellStyle name="Style 1 4 2" xfId="930" xr:uid="{3992C3A7-79C9-4DDA-A98C-FD5A1CA9C89A}"/>
    <cellStyle name="Style 1 5" xfId="931" xr:uid="{90DADABB-DEFA-467E-AC33-4D334AC7E350}"/>
    <cellStyle name="Style 1 6" xfId="932" xr:uid="{D2EE3E30-15AD-4E44-9D76-0BE451637EB6}"/>
    <cellStyle name="Style 1 7" xfId="933" xr:uid="{997222E1-ED6F-40D9-8C50-8B960AC76AAD}"/>
    <cellStyle name="Style 1 8" xfId="934" xr:uid="{AA64CF8D-BD5D-45A7-91F7-57E1B121B840}"/>
    <cellStyle name="Style 1 9" xfId="935" xr:uid="{ECA5C40D-EEC1-4BE7-A293-CFF4606A3929}"/>
    <cellStyle name="swaptn" xfId="936" xr:uid="{9819E9EA-EAB4-4B7E-A275-F0CC67F87FD0}"/>
    <cellStyle name="TableDataColumn" xfId="937" xr:uid="{C52BE2C9-2DE6-42B8-AF36-4A8D98EA4D42}"/>
    <cellStyle name="TableDataRow" xfId="938" xr:uid="{36CAE53D-362C-454F-9053-9699D742A074}"/>
    <cellStyle name="TableLabelColumn" xfId="939" xr:uid="{E01488A9-77B7-4F84-8B72-16A89EF8421D}"/>
    <cellStyle name="TableLabelRow" xfId="940" xr:uid="{ECB1FC19-B338-447F-8B89-E6382F2E9514}"/>
    <cellStyle name="TableLabelTop" xfId="941" xr:uid="{3B915FA7-ABF8-41D5-A5D0-9511D43C1BF4}"/>
    <cellStyle name="Total 2" xfId="942" xr:uid="{96FDFD77-E9CB-48F7-8485-755ABA3DD382}"/>
    <cellStyle name="Total 2 2" xfId="943" xr:uid="{E0A8E87F-064D-44C0-B0DD-D79AE5FC6384}"/>
    <cellStyle name="Total 2 3" xfId="944" xr:uid="{14D8A213-3928-4F2D-BB3E-61B2BEEEC6B3}"/>
    <cellStyle name="Total 2 4" xfId="945" xr:uid="{D5B7FE00-2AA7-4E11-B2E7-E7B97939BE05}"/>
    <cellStyle name="Total 2 5" xfId="946" xr:uid="{A37F24BE-1B64-4167-B954-7ADD1081593D}"/>
    <cellStyle name="Total 2 6" xfId="947" xr:uid="{10D761DA-4000-4CE4-B4C4-0224F2128752}"/>
    <cellStyle name="Total 2 7" xfId="948" xr:uid="{9702DA20-09D0-483A-8EE4-4911273BF493}"/>
    <cellStyle name="Total 3" xfId="949" xr:uid="{D324BFD5-C050-4AA3-8AF1-AB2B2E199F0C}"/>
    <cellStyle name="Total 3 2" xfId="950" xr:uid="{87D8626C-DB46-4DC4-B44F-E34DA15D3A77}"/>
    <cellStyle name="Total 3 2 2" xfId="951" xr:uid="{851528E8-0FBB-4129-8DF4-65CFE0B3E386}"/>
    <cellStyle name="Total 3 3" xfId="952" xr:uid="{9D50F88D-C14F-43D6-90CB-02822E92A353}"/>
    <cellStyle name="Total 3 4" xfId="953" xr:uid="{8F98CCF8-896E-479C-B565-4C7F68C1645E}"/>
    <cellStyle name="Total 3 5" xfId="954" xr:uid="{2D5A9552-61BC-40BF-9774-1BD717123317}"/>
    <cellStyle name="Total 3 6" xfId="955" xr:uid="{C410B5DA-0003-40E8-8E74-E01D541E2271}"/>
    <cellStyle name="Total 4" xfId="956" xr:uid="{3E048EC4-E54A-460B-B0B3-572725F1DE04}"/>
    <cellStyle name="桁区切り_NewDemo" xfId="957" xr:uid="{42F2F84D-F8B1-4E9F-81AA-92CF6FBF2951}"/>
    <cellStyle name="標準_NewDemo" xfId="958" xr:uid="{992E174B-0006-4775-B10B-F742311D64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Binomial!$C$9</c:f>
              <c:strCache>
                <c:ptCount val="1"/>
                <c:pt idx="0">
                  <c:v>Independent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Binomial!$C$10:$C$60</c:f>
              <c:numCache>
                <c:formatCode>General</c:formatCode>
                <c:ptCount val="51"/>
                <c:pt idx="0">
                  <c:v>5.9205292203340226E-3</c:v>
                </c:pt>
                <c:pt idx="1">
                  <c:v>3.1160680107021173E-2</c:v>
                </c:pt>
                <c:pt idx="2">
                  <c:v>8.1181771857765733E-2</c:v>
                </c:pt>
                <c:pt idx="3">
                  <c:v>0.13957567793089545</c:v>
                </c:pt>
                <c:pt idx="4">
                  <c:v>0.17814264156969564</c:v>
                </c:pt>
                <c:pt idx="5">
                  <c:v>0.1800178272704292</c:v>
                </c:pt>
                <c:pt idx="6">
                  <c:v>0.150014856058691</c:v>
                </c:pt>
                <c:pt idx="7">
                  <c:v>0.10602553736478912</c:v>
                </c:pt>
                <c:pt idx="8">
                  <c:v>6.4870887992930115E-2</c:v>
                </c:pt>
                <c:pt idx="9">
                  <c:v>3.4901296464032595E-2</c:v>
                </c:pt>
                <c:pt idx="10">
                  <c:v>1.6715884095931412E-2</c:v>
                </c:pt>
                <c:pt idx="11">
                  <c:v>7.1982276011187847E-3</c:v>
                </c:pt>
                <c:pt idx="12">
                  <c:v>2.8098344583314568E-3</c:v>
                </c:pt>
                <c:pt idx="13">
                  <c:v>1.0010746248306397E-3</c:v>
                </c:pt>
                <c:pt idx="14">
                  <c:v>3.2741914421152577E-4</c:v>
                </c:pt>
                <c:pt idx="15">
                  <c:v>9.880016281470588E-5</c:v>
                </c:pt>
                <c:pt idx="16">
                  <c:v>2.7625045523848682E-5</c:v>
                </c:pt>
                <c:pt idx="17">
                  <c:v>7.1842223653352695E-6</c:v>
                </c:pt>
                <c:pt idx="18">
                  <c:v>1.7435393459731812E-6</c:v>
                </c:pt>
                <c:pt idx="19">
                  <c:v>3.9603940822659488E-7</c:v>
                </c:pt>
                <c:pt idx="20">
                  <c:v>8.441892649040548E-8</c:v>
                </c:pt>
                <c:pt idx="21">
                  <c:v>1.6926100549454713E-8</c:v>
                </c:pt>
                <c:pt idx="22">
                  <c:v>3.1989520177199113E-9</c:v>
                </c:pt>
                <c:pt idx="23">
                  <c:v>5.7097999400950447E-10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3.3784338977197493E-13</c:v>
                </c:pt>
                <c:pt idx="28">
                  <c:v>4.6358209498785711E-14</c:v>
                </c:pt>
                <c:pt idx="29">
                  <c:v>6.0576970669920414E-15</c:v>
                </c:pt>
                <c:pt idx="30">
                  <c:v>7.5455524869550228E-16</c:v>
                </c:pt>
                <c:pt idx="31">
                  <c:v>8.9675496449379781E-17</c:v>
                </c:pt>
                <c:pt idx="32">
                  <c:v>1.0176988906261828E-17</c:v>
                </c:pt>
                <c:pt idx="33">
                  <c:v>1.1037244746823217E-18</c:v>
                </c:pt>
                <c:pt idx="34">
                  <c:v>1.1447297183237521E-19</c:v>
                </c:pt>
                <c:pt idx="35">
                  <c:v>1.1361227279604225E-20</c:v>
                </c:pt>
                <c:pt idx="36">
                  <c:v>1.0796487911904487E-21</c:v>
                </c:pt>
                <c:pt idx="37">
                  <c:v>9.8289505883625334E-23</c:v>
                </c:pt>
                <c:pt idx="38">
                  <c:v>8.5765081311197589E-24</c:v>
                </c:pt>
                <c:pt idx="39">
                  <c:v>7.1760256967533363E-25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1.5875874466740826E-30</c:v>
                </c:pt>
                <c:pt idx="45">
                  <c:v>1.039823356885963E-31</c:v>
                </c:pt>
                <c:pt idx="46">
                  <c:v>6.5435108270855664E-33</c:v>
                </c:pt>
                <c:pt idx="47">
                  <c:v>3.9568822470617697E-34</c:v>
                </c:pt>
                <c:pt idx="48">
                  <c:v>2.2995039374372205E-35</c:v>
                </c:pt>
                <c:pt idx="49">
                  <c:v>1.2843631014686849E-36</c:v>
                </c:pt>
                <c:pt idx="50">
                  <c:v>6.8950019131477529E-38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AA-40AE-B672-18540077F74A}"/>
            </c:ext>
          </c:extLst>
        </c:ser>
        <c:ser>
          <c:idx val="1"/>
          <c:order val="1"/>
          <c:tx>
            <c:strRef>
              <c:f>Binomial!$D$9</c:f>
              <c:strCache>
                <c:ptCount val="1"/>
                <c:pt idx="0">
                  <c:v>Correlated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Binomial!$D$10:$D$60</c:f>
              <c:numCache>
                <c:formatCode>General</c:formatCode>
                <c:ptCount val="51"/>
                <c:pt idx="0">
                  <c:v>5.9205292090500324E-3</c:v>
                </c:pt>
                <c:pt idx="1">
                  <c:v>3.1160680047631752E-2</c:v>
                </c:pt>
                <c:pt idx="2">
                  <c:v>8.1181771703040737E-2</c:v>
                </c:pt>
                <c:pt idx="3">
                  <c:v>0.13957567766487697</c:v>
                </c:pt>
                <c:pt idx="4">
                  <c:v>0.17814264123017209</c:v>
                </c:pt>
                <c:pt idx="5">
                  <c:v>0.18001782692733176</c:v>
                </c:pt>
                <c:pt idx="6">
                  <c:v>0.15001485577277654</c:v>
                </c:pt>
                <c:pt idx="7">
                  <c:v>0.10602553716271426</c:v>
                </c:pt>
                <c:pt idx="8">
                  <c:v>6.4870887869292251E-2</c:v>
                </c:pt>
                <c:pt idx="9">
                  <c:v>3.4901296397513958E-2</c:v>
                </c:pt>
                <c:pt idx="10">
                  <c:v>1.6715884064072505E-2</c:v>
                </c:pt>
                <c:pt idx="11">
                  <c:v>7.1982275873996313E-3</c:v>
                </c:pt>
                <c:pt idx="12">
                  <c:v>2.8098344529761728E-3</c:v>
                </c:pt>
                <c:pt idx="13">
                  <c:v>1.0010746229226844E-3</c:v>
                </c:pt>
                <c:pt idx="14">
                  <c:v>3.2741914358749499E-4</c:v>
                </c:pt>
                <c:pt idx="15">
                  <c:v>9.8800162626402175E-5</c:v>
                </c:pt>
                <c:pt idx="16">
                  <c:v>2.7625045471197988E-5</c:v>
                </c:pt>
                <c:pt idx="17">
                  <c:v>7.1842223516428286E-6</c:v>
                </c:pt>
                <c:pt idx="18">
                  <c:v>1.7435393426501618E-6</c:v>
                </c:pt>
                <c:pt idx="19">
                  <c:v>3.9603940747178016E-7</c:v>
                </c:pt>
                <c:pt idx="20">
                  <c:v>8.4418926329511056E-8</c:v>
                </c:pt>
                <c:pt idx="21">
                  <c:v>1.6926100517195241E-8</c:v>
                </c:pt>
                <c:pt idx="22">
                  <c:v>3.1989520116230033E-9</c:v>
                </c:pt>
                <c:pt idx="23">
                  <c:v>5.709799929212731E-10</c:v>
                </c:pt>
                <c:pt idx="24">
                  <c:v>9.6415481260828811E-11</c:v>
                </c:pt>
                <c:pt idx="25">
                  <c:v>1.5426477001732589E-11</c:v>
                </c:pt>
                <c:pt idx="26">
                  <c:v>2.3420764678743665E-12</c:v>
                </c:pt>
                <c:pt idx="27">
                  <c:v>3.3784338912807889E-13</c:v>
                </c:pt>
                <c:pt idx="28">
                  <c:v>4.6358209410431548E-14</c:v>
                </c:pt>
                <c:pt idx="29">
                  <c:v>6.0576970554466707E-15</c:v>
                </c:pt>
                <c:pt idx="30">
                  <c:v>7.5455524725738942E-16</c:v>
                </c:pt>
                <c:pt idx="31">
                  <c:v>8.9675496278467174E-17</c:v>
                </c:pt>
                <c:pt idx="32">
                  <c:v>1.0176988886865496E-17</c:v>
                </c:pt>
                <c:pt idx="33">
                  <c:v>1.1037244725787246E-18</c:v>
                </c:pt>
                <c:pt idx="34">
                  <c:v>1.144729716142019E-19</c:v>
                </c:pt>
                <c:pt idx="35">
                  <c:v>1.1361227257950769E-20</c:v>
                </c:pt>
                <c:pt idx="36">
                  <c:v>1.0796487891327524E-21</c:v>
                </c:pt>
                <c:pt idx="37">
                  <c:v>9.8289505696297379E-23</c:v>
                </c:pt>
                <c:pt idx="38">
                  <c:v>8.5765081147737223E-24</c:v>
                </c:pt>
                <c:pt idx="39">
                  <c:v>7.1760256830765918E-25</c:v>
                </c:pt>
                <c:pt idx="40">
                  <c:v>5.7597048245745662E-26</c:v>
                </c:pt>
                <c:pt idx="41">
                  <c:v>4.4362296466556146E-27</c:v>
                </c:pt>
                <c:pt idx="42">
                  <c:v>3.2799191623143072E-28</c:v>
                </c:pt>
                <c:pt idx="43">
                  <c:v>2.3284615840175391E-29</c:v>
                </c:pt>
                <c:pt idx="44">
                  <c:v>1.587587443648332E-30</c:v>
                </c:pt>
                <c:pt idx="45">
                  <c:v>1.0398233549041696E-31</c:v>
                </c:pt>
                <c:pt idx="46">
                  <c:v>6.5435108146142358E-33</c:v>
                </c:pt>
                <c:pt idx="47">
                  <c:v>3.9568822395204277E-34</c:v>
                </c:pt>
                <c:pt idx="48">
                  <c:v>2.2995039330546101E-35</c:v>
                </c:pt>
                <c:pt idx="49">
                  <c:v>1.2843630990208432E-36</c:v>
                </c:pt>
                <c:pt idx="50">
                  <c:v>6.8950019000066103E-38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AA-40AE-B672-18540077F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89439"/>
        <c:axId val="1661577375"/>
      </c:scatterChart>
      <c:valAx>
        <c:axId val="1661589439"/>
        <c:scaling>
          <c:orientation val="minMax"/>
          <c:max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77375"/>
        <c:crosses val="autoZero"/>
        <c:crossBetween val="midCat"/>
      </c:valAx>
      <c:valAx>
        <c:axId val="1661577375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89439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Binomial!$J$9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Binomial!$J$10:$J$60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8-4D0C-8F7E-5CEDFFA6E065}"/>
            </c:ext>
          </c:extLst>
        </c:ser>
        <c:ser>
          <c:idx val="1"/>
          <c:order val="1"/>
          <c:tx>
            <c:strRef>
              <c:f>Binomial!$K$9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Binomial!$K$10:$K$60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38-4D0C-8F7E-5CEDFFA6E065}"/>
            </c:ext>
          </c:extLst>
        </c:ser>
        <c:ser>
          <c:idx val="2"/>
          <c:order val="2"/>
          <c:tx>
            <c:strRef>
              <c:f>Binomial!$L$9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Binomial!$L$10:$L$60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38-4D0C-8F7E-5CEDFFA6E065}"/>
            </c:ext>
          </c:extLst>
        </c:ser>
        <c:ser>
          <c:idx val="3"/>
          <c:order val="3"/>
          <c:tx>
            <c:strRef>
              <c:f>Binomial!$M$9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Binomial!$M$10:$M$60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8-4D0C-8F7E-5CEDFFA6E065}"/>
            </c:ext>
          </c:extLst>
        </c:ser>
        <c:ser>
          <c:idx val="4"/>
          <c:order val="4"/>
          <c:tx>
            <c:strRef>
              <c:f>Binomial!$N$9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Binomial!$N$10:$N$60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8-4D0C-8F7E-5CEDFFA6E065}"/>
            </c:ext>
          </c:extLst>
        </c:ser>
        <c:ser>
          <c:idx val="5"/>
          <c:order val="5"/>
          <c:tx>
            <c:strRef>
              <c:f>Binomial!$O$9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Binomial!$O$10:$O$60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38-4D0C-8F7E-5CEDFFA6E065}"/>
            </c:ext>
          </c:extLst>
        </c:ser>
        <c:ser>
          <c:idx val="6"/>
          <c:order val="6"/>
          <c:tx>
            <c:strRef>
              <c:f>Binomial!$P$9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Binomial!$P$10:$P$60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538-4D0C-8F7E-5CEDFFA6E065}"/>
            </c:ext>
          </c:extLst>
        </c:ser>
        <c:ser>
          <c:idx val="7"/>
          <c:order val="7"/>
          <c:tx>
            <c:strRef>
              <c:f>Binomial!$Q$9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Binomial!$Q$10:$Q$60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538-4D0C-8F7E-5CEDFFA6E065}"/>
            </c:ext>
          </c:extLst>
        </c:ser>
        <c:ser>
          <c:idx val="8"/>
          <c:order val="8"/>
          <c:tx>
            <c:strRef>
              <c:f>Binomial!$R$9</c:f>
              <c:strCache>
                <c:ptCount val="1"/>
                <c:pt idx="0">
                  <c:v>14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Binomial!$R$10:$R$60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538-4D0C-8F7E-5CEDFFA6E065}"/>
            </c:ext>
          </c:extLst>
        </c:ser>
        <c:ser>
          <c:idx val="9"/>
          <c:order val="9"/>
          <c:tx>
            <c:strRef>
              <c:f>Binomial!$S$9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Binomial!$S$10:$S$60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538-4D0C-8F7E-5CEDFFA6E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89439"/>
        <c:axId val="1661577375"/>
      </c:scatterChart>
      <c:valAx>
        <c:axId val="1661589439"/>
        <c:scaling>
          <c:orientation val="minMax"/>
          <c:max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77375"/>
        <c:crosses val="autoZero"/>
        <c:crossBetween val="midCat"/>
      </c:valAx>
      <c:valAx>
        <c:axId val="1661577375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89439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502920</xdr:colOff>
      <xdr:row>1</xdr:row>
      <xdr:rowOff>99060</xdr:rowOff>
    </xdr:from>
    <xdr:to>
      <xdr:col>12</xdr:col>
      <xdr:colOff>182880</xdr:colOff>
      <xdr:row>4</xdr:row>
      <xdr:rowOff>120063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0">
              <a:extLst>
                <a:ext uri="{FF2B5EF4-FFF2-40B4-BE49-F238E27FC236}">
                  <a16:creationId xmlns:a16="http://schemas.microsoft.com/office/drawing/2014/main" id="{310A441E-EF58-A8E0-D7BA-3BD4A15C5C36}"/>
                </a:ext>
              </a:extLst>
            </xdr:cNvPr>
            <xdr:cNvSpPr txBox="1"/>
          </xdr:nvSpPr>
          <xdr:spPr>
            <a:xfrm>
              <a:off x="5753100" y="281940"/>
              <a:ext cx="2118360" cy="56964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2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l-GR" sz="12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Φ</m:t>
                        </m:r>
                      </m:fName>
                      <m:e>
                        <m:d>
                          <m:dPr>
                            <m:ctrlPr>
                              <a:rPr lang="en-US" sz="12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Φ</m:t>
                                    </m:r>
                                  </m:e>
                                  <m:sup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−1</m:t>
                                    </m:r>
                                  </m:sup>
                                </m:sSup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</m:t>
                                </m:r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  <m:sSub>
                                  <m:sSubPr>
                                    <m:ctrlP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)−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𝜌</m:t>
                                    </m:r>
                                  </m:e>
                                </m:rad>
                                <m:r>
                                  <a:rPr lang="en-GB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𝑍</m:t>
                                </m:r>
                              </m:num>
                              <m:den>
                                <m:rad>
                                  <m:radPr>
                                    <m:degHide m:val="on"/>
                                    <m:ctrlP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1−</m:t>
                                    </m:r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𝜌</m:t>
                                    </m:r>
                                  </m:e>
                                </m:rad>
                              </m:den>
                            </m:f>
                          </m:e>
                        </m:d>
                      </m:e>
                    </m:func>
                  </m:oMath>
                </m:oMathPara>
              </a14:m>
              <a:endParaRPr lang="en-GB" sz="1200"/>
            </a:p>
          </xdr:txBody>
        </xdr:sp>
      </mc:Choice>
      <mc:Fallback xmlns="">
        <xdr:sp macro="" textlink="">
          <xdr:nvSpPr>
            <xdr:cNvPr id="2" name="TextBox 10">
              <a:extLst>
                <a:ext uri="{FF2B5EF4-FFF2-40B4-BE49-F238E27FC236}">
                  <a16:creationId xmlns:a16="http://schemas.microsoft.com/office/drawing/2014/main" id="{310A441E-EF58-A8E0-D7BA-3BD4A15C5C36}"/>
                </a:ext>
              </a:extLst>
            </xdr:cNvPr>
            <xdr:cNvSpPr txBox="1"/>
          </xdr:nvSpPr>
          <xdr:spPr>
            <a:xfrm>
              <a:off x="5753100" y="281940"/>
              <a:ext cx="2118360" cy="56964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:r>
                <a:rPr lang="el-GR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Φ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⁡((</a:t>
              </a:r>
              <a:r>
                <a:rPr lang="el-GR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Φ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^(−1) (𝑃𝐷_𝑖)−</a:t>
              </a:r>
              <a:r>
                <a:rPr lang="en-GB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√𝜌 𝑍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n-GB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√(1−𝜌))</a:t>
              </a:r>
              <a:endParaRPr lang="en-GB" sz="1200"/>
            </a:p>
          </xdr:txBody>
        </xdr:sp>
      </mc:Fallback>
    </mc:AlternateContent>
    <xdr:clientData/>
  </xdr:twoCellAnchor>
  <xdr:twoCellAnchor>
    <xdr:from>
      <xdr:col>9</xdr:col>
      <xdr:colOff>480060</xdr:colOff>
      <xdr:row>13</xdr:row>
      <xdr:rowOff>38100</xdr:rowOff>
    </xdr:from>
    <xdr:to>
      <xdr:col>17</xdr:col>
      <xdr:colOff>175260</xdr:colOff>
      <xdr:row>28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BE4FE-411C-4223-9489-3E814448B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198120</xdr:colOff>
      <xdr:row>13</xdr:row>
      <xdr:rowOff>45720</xdr:rowOff>
    </xdr:from>
    <xdr:to>
      <xdr:col>9</xdr:col>
      <xdr:colOff>342900</xdr:colOff>
      <xdr:row>28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4BE3D7-4EC8-42EA-A8C5-49425E901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2AE95-29AD-4924-8C79-FA8DC3256877}">
  <sheetPr codeName="Sheet2"/>
  <dimension ref="A2:BB60"/>
  <sheetViews>
    <sheetView tabSelected="1" workbookViewId="0">
      <selection activeCell="C3" sqref="C3"/>
    </sheetView>
  </sheetViews>
  <sheetFormatPr defaultRowHeight="14.4"/>
  <cols>
    <col min="3" max="3" width="11.21875" bestFit="1" customWidth="1"/>
    <col min="5" max="5" width="12" bestFit="1" customWidth="1"/>
  </cols>
  <sheetData>
    <row r="2" spans="1:54">
      <c r="B2" t="s">
        <v>1</v>
      </c>
      <c r="C2" s="1">
        <v>0.05</v>
      </c>
    </row>
    <row r="3" spans="1:54">
      <c r="B3" t="s">
        <v>2</v>
      </c>
      <c r="C3" s="1">
        <v>0</v>
      </c>
    </row>
    <row r="4" spans="1:54">
      <c r="B4" t="s">
        <v>3</v>
      </c>
      <c r="C4">
        <v>100</v>
      </c>
    </row>
    <row r="5" spans="1:54">
      <c r="B5" t="s">
        <v>0</v>
      </c>
      <c r="C5">
        <v>20</v>
      </c>
    </row>
    <row r="6" spans="1:54">
      <c r="D6" t="s">
        <v>6</v>
      </c>
      <c r="E6" cm="1">
        <f t="array" ref="E6:X7">TRANSPOSE(GauHermXL(QuadraturePoints))</f>
        <v>7.6190485416797591</v>
      </c>
      <c r="F6">
        <v>6.5105901570136551</v>
      </c>
      <c r="G6">
        <v>5.5787388058932015</v>
      </c>
      <c r="H6">
        <v>4.7345813340460552</v>
      </c>
      <c r="I6">
        <v>3.9439673506573163</v>
      </c>
      <c r="J6">
        <v>3.18901481655339</v>
      </c>
      <c r="K6">
        <v>2.4586636111723679</v>
      </c>
      <c r="L6">
        <v>1.745247320814127</v>
      </c>
      <c r="M6">
        <v>1.0429453488027509</v>
      </c>
      <c r="N6">
        <v>0.34696415708135592</v>
      </c>
      <c r="O6">
        <v>-0.34696415708135592</v>
      </c>
      <c r="P6">
        <v>-1.0429453488027509</v>
      </c>
      <c r="Q6">
        <v>-1.745247320814127</v>
      </c>
      <c r="R6">
        <v>-2.4586636111723679</v>
      </c>
      <c r="S6">
        <v>-3.18901481655339</v>
      </c>
      <c r="T6">
        <v>-3.9439673506573163</v>
      </c>
      <c r="U6">
        <v>-4.7345813340460552</v>
      </c>
      <c r="V6">
        <v>-5.5787388058932015</v>
      </c>
      <c r="W6">
        <v>-6.5105901570136551</v>
      </c>
      <c r="X6">
        <v>-7.6190485416797591</v>
      </c>
    </row>
    <row r="7" spans="1:54">
      <c r="D7" t="s">
        <v>7</v>
      </c>
      <c r="E7">
        <v>1.257800660359039E-13</v>
      </c>
      <c r="F7">
        <v>2.4820621545621395E-10</v>
      </c>
      <c r="G7">
        <v>6.1274902542942243E-8</v>
      </c>
      <c r="H7">
        <v>4.4021209676484496E-6</v>
      </c>
      <c r="I7">
        <v>1.2882627996192876E-4</v>
      </c>
      <c r="J7">
        <v>1.8301031294624636E-3</v>
      </c>
      <c r="K7">
        <v>1.3997837447031754E-2</v>
      </c>
      <c r="L7">
        <v>6.1506372063975891E-2</v>
      </c>
      <c r="M7">
        <v>0.16173933303514587</v>
      </c>
      <c r="N7">
        <v>0.26079306344726588</v>
      </c>
      <c r="O7">
        <v>0.26079306344726588</v>
      </c>
      <c r="P7">
        <v>0.16173933303514587</v>
      </c>
      <c r="Q7">
        <v>6.1506372063975891E-2</v>
      </c>
      <c r="R7">
        <v>1.3997837447031754E-2</v>
      </c>
      <c r="S7">
        <v>1.8301031294624636E-3</v>
      </c>
      <c r="T7">
        <v>1.2882627996192876E-4</v>
      </c>
      <c r="U7">
        <v>4.4021209676484496E-6</v>
      </c>
      <c r="V7">
        <v>6.1274902542942243E-8</v>
      </c>
      <c r="W7">
        <v>2.4820621545621395E-10</v>
      </c>
      <c r="X7">
        <v>1.257800660359039E-13</v>
      </c>
    </row>
    <row r="8" spans="1:54">
      <c r="A8" s="2"/>
      <c r="D8" t="s">
        <v>8</v>
      </c>
      <c r="E8">
        <f t="shared" ref="E8:X8" si="0">NORMSDIST((NORMSINV(PD)-SQRT(Rho)*E6)/SQRT(1-Rho))</f>
        <v>5.000000000000001E-2</v>
      </c>
      <c r="F8">
        <f t="shared" si="0"/>
        <v>5.000000000000001E-2</v>
      </c>
      <c r="G8">
        <f t="shared" si="0"/>
        <v>5.000000000000001E-2</v>
      </c>
      <c r="H8">
        <f t="shared" si="0"/>
        <v>5.000000000000001E-2</v>
      </c>
      <c r="I8">
        <f t="shared" si="0"/>
        <v>5.000000000000001E-2</v>
      </c>
      <c r="J8">
        <f t="shared" si="0"/>
        <v>5.000000000000001E-2</v>
      </c>
      <c r="K8">
        <f t="shared" si="0"/>
        <v>5.000000000000001E-2</v>
      </c>
      <c r="L8">
        <f t="shared" si="0"/>
        <v>5.000000000000001E-2</v>
      </c>
      <c r="M8">
        <f t="shared" si="0"/>
        <v>5.000000000000001E-2</v>
      </c>
      <c r="N8">
        <f t="shared" si="0"/>
        <v>5.000000000000001E-2</v>
      </c>
      <c r="O8">
        <f t="shared" si="0"/>
        <v>5.000000000000001E-2</v>
      </c>
      <c r="P8">
        <f t="shared" si="0"/>
        <v>5.000000000000001E-2</v>
      </c>
      <c r="Q8">
        <f t="shared" si="0"/>
        <v>5.000000000000001E-2</v>
      </c>
      <c r="R8">
        <f t="shared" si="0"/>
        <v>5.000000000000001E-2</v>
      </c>
      <c r="S8">
        <f t="shared" si="0"/>
        <v>5.000000000000001E-2</v>
      </c>
      <c r="T8">
        <f t="shared" si="0"/>
        <v>5.000000000000001E-2</v>
      </c>
      <c r="U8">
        <f t="shared" si="0"/>
        <v>5.000000000000001E-2</v>
      </c>
      <c r="V8">
        <f t="shared" si="0"/>
        <v>5.000000000000001E-2</v>
      </c>
      <c r="W8">
        <f t="shared" si="0"/>
        <v>5.000000000000001E-2</v>
      </c>
      <c r="X8">
        <f t="shared" si="0"/>
        <v>5.000000000000001E-2</v>
      </c>
    </row>
    <row r="9" spans="1:54">
      <c r="C9" t="s">
        <v>5</v>
      </c>
      <c r="D9" t="s">
        <v>4</v>
      </c>
      <c r="E9">
        <v>1</v>
      </c>
      <c r="F9">
        <f>E9+1</f>
        <v>2</v>
      </c>
      <c r="G9">
        <f t="shared" ref="G9:BB9" si="1">F9+1</f>
        <v>3</v>
      </c>
      <c r="H9">
        <f t="shared" si="1"/>
        <v>4</v>
      </c>
      <c r="I9">
        <f t="shared" si="1"/>
        <v>5</v>
      </c>
      <c r="J9">
        <f t="shared" si="1"/>
        <v>6</v>
      </c>
      <c r="K9">
        <f t="shared" si="1"/>
        <v>7</v>
      </c>
      <c r="L9">
        <f t="shared" si="1"/>
        <v>8</v>
      </c>
      <c r="M9">
        <f t="shared" si="1"/>
        <v>9</v>
      </c>
      <c r="N9">
        <f t="shared" si="1"/>
        <v>10</v>
      </c>
      <c r="O9">
        <f t="shared" si="1"/>
        <v>11</v>
      </c>
      <c r="P9">
        <f t="shared" si="1"/>
        <v>12</v>
      </c>
      <c r="Q9">
        <f t="shared" si="1"/>
        <v>13</v>
      </c>
      <c r="R9">
        <f t="shared" si="1"/>
        <v>14</v>
      </c>
      <c r="S9">
        <f t="shared" si="1"/>
        <v>15</v>
      </c>
      <c r="T9">
        <f t="shared" si="1"/>
        <v>16</v>
      </c>
      <c r="U9">
        <f t="shared" si="1"/>
        <v>17</v>
      </c>
      <c r="V9">
        <f t="shared" si="1"/>
        <v>18</v>
      </c>
      <c r="W9">
        <f t="shared" si="1"/>
        <v>19</v>
      </c>
      <c r="X9">
        <f t="shared" si="1"/>
        <v>20</v>
      </c>
      <c r="Y9">
        <f t="shared" si="1"/>
        <v>21</v>
      </c>
      <c r="Z9">
        <f t="shared" si="1"/>
        <v>22</v>
      </c>
      <c r="AA9">
        <f t="shared" si="1"/>
        <v>23</v>
      </c>
      <c r="AB9">
        <f t="shared" si="1"/>
        <v>24</v>
      </c>
      <c r="AC9">
        <f t="shared" si="1"/>
        <v>25</v>
      </c>
      <c r="AD9">
        <f t="shared" si="1"/>
        <v>26</v>
      </c>
      <c r="AE9">
        <f t="shared" si="1"/>
        <v>27</v>
      </c>
      <c r="AF9">
        <f t="shared" si="1"/>
        <v>28</v>
      </c>
      <c r="AG9">
        <f t="shared" si="1"/>
        <v>29</v>
      </c>
      <c r="AH9">
        <f t="shared" si="1"/>
        <v>30</v>
      </c>
      <c r="AI9">
        <f t="shared" si="1"/>
        <v>31</v>
      </c>
      <c r="AJ9">
        <f t="shared" si="1"/>
        <v>32</v>
      </c>
      <c r="AK9">
        <f t="shared" si="1"/>
        <v>33</v>
      </c>
      <c r="AL9">
        <f t="shared" si="1"/>
        <v>34</v>
      </c>
      <c r="AM9">
        <f t="shared" si="1"/>
        <v>35</v>
      </c>
      <c r="AN9">
        <f t="shared" si="1"/>
        <v>36</v>
      </c>
      <c r="AO9">
        <f t="shared" si="1"/>
        <v>37</v>
      </c>
      <c r="AP9">
        <f t="shared" si="1"/>
        <v>38</v>
      </c>
      <c r="AQ9">
        <f t="shared" si="1"/>
        <v>39</v>
      </c>
      <c r="AR9">
        <f t="shared" si="1"/>
        <v>40</v>
      </c>
      <c r="AS9">
        <f t="shared" si="1"/>
        <v>41</v>
      </c>
      <c r="AT9">
        <f t="shared" si="1"/>
        <v>42</v>
      </c>
      <c r="AU9">
        <f t="shared" si="1"/>
        <v>43</v>
      </c>
      <c r="AV9">
        <f t="shared" si="1"/>
        <v>44</v>
      </c>
      <c r="AW9">
        <f t="shared" si="1"/>
        <v>45</v>
      </c>
      <c r="AX9">
        <f t="shared" si="1"/>
        <v>46</v>
      </c>
      <c r="AY9">
        <f t="shared" si="1"/>
        <v>47</v>
      </c>
      <c r="AZ9">
        <f t="shared" si="1"/>
        <v>48</v>
      </c>
      <c r="BA9">
        <f t="shared" si="1"/>
        <v>49</v>
      </c>
      <c r="BB9">
        <f t="shared" si="1"/>
        <v>50</v>
      </c>
    </row>
    <row r="10" spans="1:54">
      <c r="B10">
        <v>0</v>
      </c>
      <c r="C10">
        <f>_xlfn.BINOM.DIST(B10,Size,PD,FALSE)</f>
        <v>5.9205292203340226E-3</v>
      </c>
      <c r="D10">
        <f t="shared" ref="D10:D41" si="2">SUMPRODUCT($E$7:$BB$7,E10:BB10)</f>
        <v>5.9205292090500324E-3</v>
      </c>
      <c r="E10">
        <f t="shared" ref="E10:N19" si="3">_xlfn.BINOM.DIST($B10,Size,E$8,FALSE)</f>
        <v>5.9205292203340174E-3</v>
      </c>
      <c r="F10">
        <f t="shared" si="3"/>
        <v>5.9205292203340174E-3</v>
      </c>
      <c r="G10">
        <f t="shared" si="3"/>
        <v>5.9205292203340174E-3</v>
      </c>
      <c r="H10">
        <f t="shared" si="3"/>
        <v>5.9205292203340174E-3</v>
      </c>
      <c r="I10">
        <f t="shared" si="3"/>
        <v>5.9205292203340174E-3</v>
      </c>
      <c r="J10">
        <f t="shared" si="3"/>
        <v>5.9205292203340174E-3</v>
      </c>
      <c r="K10">
        <f t="shared" si="3"/>
        <v>5.9205292203340174E-3</v>
      </c>
      <c r="L10">
        <f t="shared" si="3"/>
        <v>5.9205292203340174E-3</v>
      </c>
      <c r="M10">
        <f t="shared" si="3"/>
        <v>5.9205292203340174E-3</v>
      </c>
      <c r="N10">
        <f t="shared" si="3"/>
        <v>5.9205292203340174E-3</v>
      </c>
      <c r="O10">
        <f t="shared" ref="O10:X19" si="4">_xlfn.BINOM.DIST($B10,Size,O$8,FALSE)</f>
        <v>5.9205292203340174E-3</v>
      </c>
      <c r="P10">
        <f t="shared" si="4"/>
        <v>5.9205292203340174E-3</v>
      </c>
      <c r="Q10">
        <f t="shared" si="4"/>
        <v>5.9205292203340174E-3</v>
      </c>
      <c r="R10">
        <f t="shared" si="4"/>
        <v>5.9205292203340174E-3</v>
      </c>
      <c r="S10">
        <f t="shared" si="4"/>
        <v>5.9205292203340174E-3</v>
      </c>
      <c r="T10">
        <f t="shared" si="4"/>
        <v>5.9205292203340174E-3</v>
      </c>
      <c r="U10">
        <f t="shared" si="4"/>
        <v>5.9205292203340174E-3</v>
      </c>
      <c r="V10">
        <f t="shared" si="4"/>
        <v>5.9205292203340174E-3</v>
      </c>
      <c r="W10">
        <f t="shared" si="4"/>
        <v>5.9205292203340174E-3</v>
      </c>
      <c r="X10">
        <f t="shared" si="4"/>
        <v>5.9205292203340174E-3</v>
      </c>
      <c r="Y10">
        <f t="shared" ref="Y10:AH19" si="5">_xlfn.BINOM.DIST($B10,Size,Y$8,FALSE)</f>
        <v>1</v>
      </c>
      <c r="Z10">
        <f t="shared" si="5"/>
        <v>1</v>
      </c>
      <c r="AA10">
        <f t="shared" si="5"/>
        <v>1</v>
      </c>
      <c r="AB10">
        <f t="shared" si="5"/>
        <v>1</v>
      </c>
      <c r="AC10">
        <f t="shared" si="5"/>
        <v>1</v>
      </c>
      <c r="AD10">
        <f t="shared" si="5"/>
        <v>1</v>
      </c>
      <c r="AE10">
        <f t="shared" si="5"/>
        <v>1</v>
      </c>
      <c r="AF10">
        <f t="shared" si="5"/>
        <v>1</v>
      </c>
      <c r="AG10">
        <f t="shared" si="5"/>
        <v>1</v>
      </c>
      <c r="AH10">
        <f t="shared" si="5"/>
        <v>1</v>
      </c>
      <c r="AI10">
        <f t="shared" ref="AI10:AR19" si="6">_xlfn.BINOM.DIST($B10,Size,AI$8,FALSE)</f>
        <v>1</v>
      </c>
      <c r="AJ10">
        <f t="shared" si="6"/>
        <v>1</v>
      </c>
      <c r="AK10">
        <f t="shared" si="6"/>
        <v>1</v>
      </c>
      <c r="AL10">
        <f t="shared" si="6"/>
        <v>1</v>
      </c>
      <c r="AM10">
        <f t="shared" si="6"/>
        <v>1</v>
      </c>
      <c r="AN10">
        <f t="shared" si="6"/>
        <v>1</v>
      </c>
      <c r="AO10">
        <f t="shared" si="6"/>
        <v>1</v>
      </c>
      <c r="AP10">
        <f t="shared" si="6"/>
        <v>1</v>
      </c>
      <c r="AQ10">
        <f t="shared" si="6"/>
        <v>1</v>
      </c>
      <c r="AR10">
        <f t="shared" si="6"/>
        <v>1</v>
      </c>
      <c r="AS10">
        <f t="shared" ref="AS10:BB19" si="7">_xlfn.BINOM.DIST($B10,Size,AS$8,FALSE)</f>
        <v>1</v>
      </c>
      <c r="AT10">
        <f t="shared" si="7"/>
        <v>1</v>
      </c>
      <c r="AU10">
        <f t="shared" si="7"/>
        <v>1</v>
      </c>
      <c r="AV10">
        <f t="shared" si="7"/>
        <v>1</v>
      </c>
      <c r="AW10">
        <f t="shared" si="7"/>
        <v>1</v>
      </c>
      <c r="AX10">
        <f t="shared" si="7"/>
        <v>1</v>
      </c>
      <c r="AY10">
        <f t="shared" si="7"/>
        <v>1</v>
      </c>
      <c r="AZ10">
        <f t="shared" si="7"/>
        <v>1</v>
      </c>
      <c r="BA10">
        <f t="shared" si="7"/>
        <v>1</v>
      </c>
      <c r="BB10">
        <f t="shared" si="7"/>
        <v>1</v>
      </c>
    </row>
    <row r="11" spans="1:54">
      <c r="B11">
        <f>B10+1</f>
        <v>1</v>
      </c>
      <c r="C11">
        <f t="shared" ref="C11:C41" si="8">_xlfn.BINOM.DIST(B11,Size,PD,FALSE)</f>
        <v>3.1160680107021173E-2</v>
      </c>
      <c r="D11">
        <f t="shared" si="2"/>
        <v>3.1160680047631752E-2</v>
      </c>
      <c r="E11">
        <f t="shared" si="3"/>
        <v>3.1160680107021145E-2</v>
      </c>
      <c r="F11">
        <f t="shared" si="3"/>
        <v>3.1160680107021145E-2</v>
      </c>
      <c r="G11">
        <f t="shared" si="3"/>
        <v>3.1160680107021145E-2</v>
      </c>
      <c r="H11">
        <f t="shared" si="3"/>
        <v>3.1160680107021145E-2</v>
      </c>
      <c r="I11">
        <f t="shared" si="3"/>
        <v>3.1160680107021145E-2</v>
      </c>
      <c r="J11">
        <f t="shared" si="3"/>
        <v>3.1160680107021145E-2</v>
      </c>
      <c r="K11">
        <f t="shared" si="3"/>
        <v>3.1160680107021145E-2</v>
      </c>
      <c r="L11">
        <f t="shared" si="3"/>
        <v>3.1160680107021145E-2</v>
      </c>
      <c r="M11">
        <f t="shared" si="3"/>
        <v>3.1160680107021145E-2</v>
      </c>
      <c r="N11">
        <f t="shared" si="3"/>
        <v>3.1160680107021145E-2</v>
      </c>
      <c r="O11">
        <f t="shared" si="4"/>
        <v>3.1160680107021145E-2</v>
      </c>
      <c r="P11">
        <f t="shared" si="4"/>
        <v>3.1160680107021145E-2</v>
      </c>
      <c r="Q11">
        <f t="shared" si="4"/>
        <v>3.1160680107021145E-2</v>
      </c>
      <c r="R11">
        <f t="shared" si="4"/>
        <v>3.1160680107021145E-2</v>
      </c>
      <c r="S11">
        <f t="shared" si="4"/>
        <v>3.1160680107021145E-2</v>
      </c>
      <c r="T11">
        <f t="shared" si="4"/>
        <v>3.1160680107021145E-2</v>
      </c>
      <c r="U11">
        <f t="shared" si="4"/>
        <v>3.1160680107021145E-2</v>
      </c>
      <c r="V11">
        <f t="shared" si="4"/>
        <v>3.1160680107021145E-2</v>
      </c>
      <c r="W11">
        <f t="shared" si="4"/>
        <v>3.1160680107021145E-2</v>
      </c>
      <c r="X11">
        <f t="shared" si="4"/>
        <v>3.1160680107021145E-2</v>
      </c>
      <c r="Y11">
        <f t="shared" si="5"/>
        <v>0</v>
      </c>
      <c r="Z11">
        <f t="shared" si="5"/>
        <v>0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5"/>
        <v>0</v>
      </c>
      <c r="AE11">
        <f t="shared" si="5"/>
        <v>0</v>
      </c>
      <c r="AF11">
        <f t="shared" si="5"/>
        <v>0</v>
      </c>
      <c r="AG11">
        <f t="shared" si="5"/>
        <v>0</v>
      </c>
      <c r="AH11">
        <f t="shared" si="5"/>
        <v>0</v>
      </c>
      <c r="AI11">
        <f t="shared" si="6"/>
        <v>0</v>
      </c>
      <c r="AJ11">
        <f t="shared" si="6"/>
        <v>0</v>
      </c>
      <c r="AK11">
        <f t="shared" si="6"/>
        <v>0</v>
      </c>
      <c r="AL11">
        <f t="shared" si="6"/>
        <v>0</v>
      </c>
      <c r="AM11">
        <f t="shared" si="6"/>
        <v>0</v>
      </c>
      <c r="AN11">
        <f t="shared" si="6"/>
        <v>0</v>
      </c>
      <c r="AO11">
        <f t="shared" si="6"/>
        <v>0</v>
      </c>
      <c r="AP11">
        <f t="shared" si="6"/>
        <v>0</v>
      </c>
      <c r="AQ11">
        <f t="shared" si="6"/>
        <v>0</v>
      </c>
      <c r="AR11">
        <f t="shared" si="6"/>
        <v>0</v>
      </c>
      <c r="AS11">
        <f t="shared" si="7"/>
        <v>0</v>
      </c>
      <c r="AT11">
        <f t="shared" si="7"/>
        <v>0</v>
      </c>
      <c r="AU11">
        <f t="shared" si="7"/>
        <v>0</v>
      </c>
      <c r="AV11">
        <f t="shared" si="7"/>
        <v>0</v>
      </c>
      <c r="AW11">
        <f t="shared" si="7"/>
        <v>0</v>
      </c>
      <c r="AX11">
        <f t="shared" si="7"/>
        <v>0</v>
      </c>
      <c r="AY11">
        <f t="shared" si="7"/>
        <v>0</v>
      </c>
      <c r="AZ11">
        <f t="shared" si="7"/>
        <v>0</v>
      </c>
      <c r="BA11">
        <f t="shared" si="7"/>
        <v>0</v>
      </c>
      <c r="BB11">
        <f t="shared" si="7"/>
        <v>0</v>
      </c>
    </row>
    <row r="12" spans="1:54">
      <c r="B12">
        <f t="shared" ref="B12:B60" si="9">B11+1</f>
        <v>2</v>
      </c>
      <c r="C12">
        <f t="shared" si="8"/>
        <v>8.1181771857765733E-2</v>
      </c>
      <c r="D12">
        <f t="shared" si="2"/>
        <v>8.1181771703040737E-2</v>
      </c>
      <c r="E12">
        <f t="shared" si="3"/>
        <v>8.1181771857765705E-2</v>
      </c>
      <c r="F12">
        <f t="shared" si="3"/>
        <v>8.1181771857765705E-2</v>
      </c>
      <c r="G12">
        <f t="shared" si="3"/>
        <v>8.1181771857765705E-2</v>
      </c>
      <c r="H12">
        <f t="shared" si="3"/>
        <v>8.1181771857765705E-2</v>
      </c>
      <c r="I12">
        <f t="shared" si="3"/>
        <v>8.1181771857765705E-2</v>
      </c>
      <c r="J12">
        <f t="shared" si="3"/>
        <v>8.1181771857765705E-2</v>
      </c>
      <c r="K12">
        <f t="shared" si="3"/>
        <v>8.1181771857765705E-2</v>
      </c>
      <c r="L12">
        <f t="shared" si="3"/>
        <v>8.1181771857765705E-2</v>
      </c>
      <c r="M12">
        <f t="shared" si="3"/>
        <v>8.1181771857765705E-2</v>
      </c>
      <c r="N12">
        <f t="shared" si="3"/>
        <v>8.1181771857765705E-2</v>
      </c>
      <c r="O12">
        <f t="shared" si="4"/>
        <v>8.1181771857765705E-2</v>
      </c>
      <c r="P12">
        <f t="shared" si="4"/>
        <v>8.1181771857765705E-2</v>
      </c>
      <c r="Q12">
        <f t="shared" si="4"/>
        <v>8.1181771857765705E-2</v>
      </c>
      <c r="R12">
        <f t="shared" si="4"/>
        <v>8.1181771857765705E-2</v>
      </c>
      <c r="S12">
        <f t="shared" si="4"/>
        <v>8.1181771857765705E-2</v>
      </c>
      <c r="T12">
        <f t="shared" si="4"/>
        <v>8.1181771857765705E-2</v>
      </c>
      <c r="U12">
        <f t="shared" si="4"/>
        <v>8.1181771857765705E-2</v>
      </c>
      <c r="V12">
        <f t="shared" si="4"/>
        <v>8.1181771857765705E-2</v>
      </c>
      <c r="W12">
        <f t="shared" si="4"/>
        <v>8.1181771857765705E-2</v>
      </c>
      <c r="X12">
        <f t="shared" si="4"/>
        <v>8.1181771857765705E-2</v>
      </c>
      <c r="Y12">
        <f t="shared" si="5"/>
        <v>0</v>
      </c>
      <c r="Z12">
        <f t="shared" si="5"/>
        <v>0</v>
      </c>
      <c r="AA12">
        <f t="shared" si="5"/>
        <v>0</v>
      </c>
      <c r="AB12">
        <f t="shared" si="5"/>
        <v>0</v>
      </c>
      <c r="AC12">
        <f t="shared" si="5"/>
        <v>0</v>
      </c>
      <c r="AD12">
        <f t="shared" si="5"/>
        <v>0</v>
      </c>
      <c r="AE12">
        <f t="shared" si="5"/>
        <v>0</v>
      </c>
      <c r="AF12">
        <f t="shared" si="5"/>
        <v>0</v>
      </c>
      <c r="AG12">
        <f t="shared" si="5"/>
        <v>0</v>
      </c>
      <c r="AH12">
        <f t="shared" si="5"/>
        <v>0</v>
      </c>
      <c r="AI12">
        <f t="shared" si="6"/>
        <v>0</v>
      </c>
      <c r="AJ12">
        <f t="shared" si="6"/>
        <v>0</v>
      </c>
      <c r="AK12">
        <f t="shared" si="6"/>
        <v>0</v>
      </c>
      <c r="AL12">
        <f t="shared" si="6"/>
        <v>0</v>
      </c>
      <c r="AM12">
        <f t="shared" si="6"/>
        <v>0</v>
      </c>
      <c r="AN12">
        <f t="shared" si="6"/>
        <v>0</v>
      </c>
      <c r="AO12">
        <f t="shared" si="6"/>
        <v>0</v>
      </c>
      <c r="AP12">
        <f t="shared" si="6"/>
        <v>0</v>
      </c>
      <c r="AQ12">
        <f t="shared" si="6"/>
        <v>0</v>
      </c>
      <c r="AR12">
        <f t="shared" si="6"/>
        <v>0</v>
      </c>
      <c r="AS12">
        <f t="shared" si="7"/>
        <v>0</v>
      </c>
      <c r="AT12">
        <f t="shared" si="7"/>
        <v>0</v>
      </c>
      <c r="AU12">
        <f t="shared" si="7"/>
        <v>0</v>
      </c>
      <c r="AV12">
        <f t="shared" si="7"/>
        <v>0</v>
      </c>
      <c r="AW12">
        <f t="shared" si="7"/>
        <v>0</v>
      </c>
      <c r="AX12">
        <f t="shared" si="7"/>
        <v>0</v>
      </c>
      <c r="AY12">
        <f t="shared" si="7"/>
        <v>0</v>
      </c>
      <c r="AZ12">
        <f t="shared" si="7"/>
        <v>0</v>
      </c>
      <c r="BA12">
        <f t="shared" si="7"/>
        <v>0</v>
      </c>
      <c r="BB12">
        <f t="shared" si="7"/>
        <v>0</v>
      </c>
    </row>
    <row r="13" spans="1:54">
      <c r="B13">
        <f t="shared" si="9"/>
        <v>3</v>
      </c>
      <c r="C13">
        <f t="shared" si="8"/>
        <v>0.13957567793089545</v>
      </c>
      <c r="D13">
        <f t="shared" si="2"/>
        <v>0.13957567766487697</v>
      </c>
      <c r="E13">
        <f t="shared" si="3"/>
        <v>0.13957567793089543</v>
      </c>
      <c r="F13">
        <f t="shared" si="3"/>
        <v>0.13957567793089543</v>
      </c>
      <c r="G13">
        <f t="shared" si="3"/>
        <v>0.13957567793089543</v>
      </c>
      <c r="H13">
        <f t="shared" si="3"/>
        <v>0.13957567793089543</v>
      </c>
      <c r="I13">
        <f t="shared" si="3"/>
        <v>0.13957567793089543</v>
      </c>
      <c r="J13">
        <f t="shared" si="3"/>
        <v>0.13957567793089543</v>
      </c>
      <c r="K13">
        <f t="shared" si="3"/>
        <v>0.13957567793089543</v>
      </c>
      <c r="L13">
        <f t="shared" si="3"/>
        <v>0.13957567793089543</v>
      </c>
      <c r="M13">
        <f t="shared" si="3"/>
        <v>0.13957567793089543</v>
      </c>
      <c r="N13">
        <f t="shared" si="3"/>
        <v>0.13957567793089543</v>
      </c>
      <c r="O13">
        <f t="shared" si="4"/>
        <v>0.13957567793089543</v>
      </c>
      <c r="P13">
        <f t="shared" si="4"/>
        <v>0.13957567793089543</v>
      </c>
      <c r="Q13">
        <f t="shared" si="4"/>
        <v>0.13957567793089543</v>
      </c>
      <c r="R13">
        <f t="shared" si="4"/>
        <v>0.13957567793089543</v>
      </c>
      <c r="S13">
        <f t="shared" si="4"/>
        <v>0.13957567793089543</v>
      </c>
      <c r="T13">
        <f t="shared" si="4"/>
        <v>0.13957567793089543</v>
      </c>
      <c r="U13">
        <f t="shared" si="4"/>
        <v>0.13957567793089543</v>
      </c>
      <c r="V13">
        <f t="shared" si="4"/>
        <v>0.13957567793089543</v>
      </c>
      <c r="W13">
        <f t="shared" si="4"/>
        <v>0.13957567793089543</v>
      </c>
      <c r="X13">
        <f t="shared" si="4"/>
        <v>0.13957567793089543</v>
      </c>
      <c r="Y13">
        <f t="shared" si="5"/>
        <v>0</v>
      </c>
      <c r="Z13">
        <f t="shared" si="5"/>
        <v>0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6"/>
        <v>0</v>
      </c>
      <c r="AJ13">
        <f t="shared" si="6"/>
        <v>0</v>
      </c>
      <c r="AK13">
        <f t="shared" si="6"/>
        <v>0</v>
      </c>
      <c r="AL13">
        <f t="shared" si="6"/>
        <v>0</v>
      </c>
      <c r="AM13">
        <f t="shared" si="6"/>
        <v>0</v>
      </c>
      <c r="AN13">
        <f t="shared" si="6"/>
        <v>0</v>
      </c>
      <c r="AO13">
        <f t="shared" si="6"/>
        <v>0</v>
      </c>
      <c r="AP13">
        <f t="shared" si="6"/>
        <v>0</v>
      </c>
      <c r="AQ13">
        <f t="shared" si="6"/>
        <v>0</v>
      </c>
      <c r="AR13">
        <f t="shared" si="6"/>
        <v>0</v>
      </c>
      <c r="AS13">
        <f t="shared" si="7"/>
        <v>0</v>
      </c>
      <c r="AT13">
        <f t="shared" si="7"/>
        <v>0</v>
      </c>
      <c r="AU13">
        <f t="shared" si="7"/>
        <v>0</v>
      </c>
      <c r="AV13">
        <f t="shared" si="7"/>
        <v>0</v>
      </c>
      <c r="AW13">
        <f t="shared" si="7"/>
        <v>0</v>
      </c>
      <c r="AX13">
        <f t="shared" si="7"/>
        <v>0</v>
      </c>
      <c r="AY13">
        <f t="shared" si="7"/>
        <v>0</v>
      </c>
      <c r="AZ13">
        <f t="shared" si="7"/>
        <v>0</v>
      </c>
      <c r="BA13">
        <f t="shared" si="7"/>
        <v>0</v>
      </c>
      <c r="BB13">
        <f t="shared" si="7"/>
        <v>0</v>
      </c>
    </row>
    <row r="14" spans="1:54">
      <c r="B14">
        <f t="shared" si="9"/>
        <v>4</v>
      </c>
      <c r="C14">
        <f t="shared" si="8"/>
        <v>0.17814264156969564</v>
      </c>
      <c r="D14">
        <f t="shared" si="2"/>
        <v>0.17814264123017209</v>
      </c>
      <c r="E14">
        <f t="shared" si="3"/>
        <v>0.17814264156969559</v>
      </c>
      <c r="F14">
        <f t="shared" si="3"/>
        <v>0.17814264156969559</v>
      </c>
      <c r="G14">
        <f t="shared" si="3"/>
        <v>0.17814264156969559</v>
      </c>
      <c r="H14">
        <f t="shared" si="3"/>
        <v>0.17814264156969559</v>
      </c>
      <c r="I14">
        <f t="shared" si="3"/>
        <v>0.17814264156969559</v>
      </c>
      <c r="J14">
        <f t="shared" si="3"/>
        <v>0.17814264156969559</v>
      </c>
      <c r="K14">
        <f t="shared" si="3"/>
        <v>0.17814264156969559</v>
      </c>
      <c r="L14">
        <f t="shared" si="3"/>
        <v>0.17814264156969559</v>
      </c>
      <c r="M14">
        <f t="shared" si="3"/>
        <v>0.17814264156969559</v>
      </c>
      <c r="N14">
        <f t="shared" si="3"/>
        <v>0.17814264156969559</v>
      </c>
      <c r="O14">
        <f t="shared" si="4"/>
        <v>0.17814264156969559</v>
      </c>
      <c r="P14">
        <f t="shared" si="4"/>
        <v>0.17814264156969559</v>
      </c>
      <c r="Q14">
        <f t="shared" si="4"/>
        <v>0.17814264156969559</v>
      </c>
      <c r="R14">
        <f t="shared" si="4"/>
        <v>0.17814264156969559</v>
      </c>
      <c r="S14">
        <f t="shared" si="4"/>
        <v>0.17814264156969559</v>
      </c>
      <c r="T14">
        <f t="shared" si="4"/>
        <v>0.17814264156969559</v>
      </c>
      <c r="U14">
        <f t="shared" si="4"/>
        <v>0.17814264156969559</v>
      </c>
      <c r="V14">
        <f t="shared" si="4"/>
        <v>0.17814264156969559</v>
      </c>
      <c r="W14">
        <f t="shared" si="4"/>
        <v>0.17814264156969559</v>
      </c>
      <c r="X14">
        <f t="shared" si="4"/>
        <v>0.17814264156969559</v>
      </c>
      <c r="Y14">
        <f t="shared" si="5"/>
        <v>0</v>
      </c>
      <c r="Z14">
        <f t="shared" si="5"/>
        <v>0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6"/>
        <v>0</v>
      </c>
      <c r="AJ14">
        <f t="shared" si="6"/>
        <v>0</v>
      </c>
      <c r="AK14">
        <f t="shared" si="6"/>
        <v>0</v>
      </c>
      <c r="AL14">
        <f t="shared" si="6"/>
        <v>0</v>
      </c>
      <c r="AM14">
        <f t="shared" si="6"/>
        <v>0</v>
      </c>
      <c r="AN14">
        <f t="shared" si="6"/>
        <v>0</v>
      </c>
      <c r="AO14">
        <f t="shared" si="6"/>
        <v>0</v>
      </c>
      <c r="AP14">
        <f t="shared" si="6"/>
        <v>0</v>
      </c>
      <c r="AQ14">
        <f t="shared" si="6"/>
        <v>0</v>
      </c>
      <c r="AR14">
        <f t="shared" si="6"/>
        <v>0</v>
      </c>
      <c r="AS14">
        <f t="shared" si="7"/>
        <v>0</v>
      </c>
      <c r="AT14">
        <f t="shared" si="7"/>
        <v>0</v>
      </c>
      <c r="AU14">
        <f t="shared" si="7"/>
        <v>0</v>
      </c>
      <c r="AV14">
        <f t="shared" si="7"/>
        <v>0</v>
      </c>
      <c r="AW14">
        <f t="shared" si="7"/>
        <v>0</v>
      </c>
      <c r="AX14">
        <f t="shared" si="7"/>
        <v>0</v>
      </c>
      <c r="AY14">
        <f t="shared" si="7"/>
        <v>0</v>
      </c>
      <c r="AZ14">
        <f t="shared" si="7"/>
        <v>0</v>
      </c>
      <c r="BA14">
        <f t="shared" si="7"/>
        <v>0</v>
      </c>
      <c r="BB14">
        <f t="shared" si="7"/>
        <v>0</v>
      </c>
    </row>
    <row r="15" spans="1:54">
      <c r="B15">
        <f t="shared" si="9"/>
        <v>5</v>
      </c>
      <c r="C15">
        <f t="shared" si="8"/>
        <v>0.1800178272704292</v>
      </c>
      <c r="D15">
        <f t="shared" si="2"/>
        <v>0.18001782692733176</v>
      </c>
      <c r="E15">
        <f t="shared" si="3"/>
        <v>0.1800178272704292</v>
      </c>
      <c r="F15">
        <f t="shared" si="3"/>
        <v>0.1800178272704292</v>
      </c>
      <c r="G15">
        <f t="shared" si="3"/>
        <v>0.1800178272704292</v>
      </c>
      <c r="H15">
        <f t="shared" si="3"/>
        <v>0.1800178272704292</v>
      </c>
      <c r="I15">
        <f t="shared" si="3"/>
        <v>0.1800178272704292</v>
      </c>
      <c r="J15">
        <f t="shared" si="3"/>
        <v>0.1800178272704292</v>
      </c>
      <c r="K15">
        <f t="shared" si="3"/>
        <v>0.1800178272704292</v>
      </c>
      <c r="L15">
        <f t="shared" si="3"/>
        <v>0.1800178272704292</v>
      </c>
      <c r="M15">
        <f t="shared" si="3"/>
        <v>0.1800178272704292</v>
      </c>
      <c r="N15">
        <f t="shared" si="3"/>
        <v>0.1800178272704292</v>
      </c>
      <c r="O15">
        <f t="shared" si="4"/>
        <v>0.1800178272704292</v>
      </c>
      <c r="P15">
        <f t="shared" si="4"/>
        <v>0.1800178272704292</v>
      </c>
      <c r="Q15">
        <f t="shared" si="4"/>
        <v>0.1800178272704292</v>
      </c>
      <c r="R15">
        <f t="shared" si="4"/>
        <v>0.1800178272704292</v>
      </c>
      <c r="S15">
        <f t="shared" si="4"/>
        <v>0.1800178272704292</v>
      </c>
      <c r="T15">
        <f t="shared" si="4"/>
        <v>0.1800178272704292</v>
      </c>
      <c r="U15">
        <f t="shared" si="4"/>
        <v>0.1800178272704292</v>
      </c>
      <c r="V15">
        <f t="shared" si="4"/>
        <v>0.1800178272704292</v>
      </c>
      <c r="W15">
        <f t="shared" si="4"/>
        <v>0.1800178272704292</v>
      </c>
      <c r="X15">
        <f t="shared" si="4"/>
        <v>0.1800178272704292</v>
      </c>
      <c r="Y15">
        <f t="shared" si="5"/>
        <v>0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6"/>
        <v>0</v>
      </c>
      <c r="AJ15">
        <f t="shared" si="6"/>
        <v>0</v>
      </c>
      <c r="AK15">
        <f t="shared" si="6"/>
        <v>0</v>
      </c>
      <c r="AL15">
        <f t="shared" si="6"/>
        <v>0</v>
      </c>
      <c r="AM15">
        <f t="shared" si="6"/>
        <v>0</v>
      </c>
      <c r="AN15">
        <f t="shared" si="6"/>
        <v>0</v>
      </c>
      <c r="AO15">
        <f t="shared" si="6"/>
        <v>0</v>
      </c>
      <c r="AP15">
        <f t="shared" si="6"/>
        <v>0</v>
      </c>
      <c r="AQ15">
        <f t="shared" si="6"/>
        <v>0</v>
      </c>
      <c r="AR15">
        <f t="shared" si="6"/>
        <v>0</v>
      </c>
      <c r="AS15">
        <f t="shared" si="7"/>
        <v>0</v>
      </c>
      <c r="AT15">
        <f t="shared" si="7"/>
        <v>0</v>
      </c>
      <c r="AU15">
        <f t="shared" si="7"/>
        <v>0</v>
      </c>
      <c r="AV15">
        <f t="shared" si="7"/>
        <v>0</v>
      </c>
      <c r="AW15">
        <f t="shared" si="7"/>
        <v>0</v>
      </c>
      <c r="AX15">
        <f t="shared" si="7"/>
        <v>0</v>
      </c>
      <c r="AY15">
        <f t="shared" si="7"/>
        <v>0</v>
      </c>
      <c r="AZ15">
        <f t="shared" si="7"/>
        <v>0</v>
      </c>
      <c r="BA15">
        <f t="shared" si="7"/>
        <v>0</v>
      </c>
      <c r="BB15">
        <f t="shared" si="7"/>
        <v>0</v>
      </c>
    </row>
    <row r="16" spans="1:54">
      <c r="B16">
        <f t="shared" si="9"/>
        <v>6</v>
      </c>
      <c r="C16">
        <f t="shared" si="8"/>
        <v>0.150014856058691</v>
      </c>
      <c r="D16">
        <f t="shared" si="2"/>
        <v>0.15001485577277654</v>
      </c>
      <c r="E16">
        <f t="shared" si="3"/>
        <v>0.15001485605869103</v>
      </c>
      <c r="F16">
        <f t="shared" si="3"/>
        <v>0.15001485605869103</v>
      </c>
      <c r="G16">
        <f t="shared" si="3"/>
        <v>0.15001485605869103</v>
      </c>
      <c r="H16">
        <f t="shared" si="3"/>
        <v>0.15001485605869103</v>
      </c>
      <c r="I16">
        <f t="shared" si="3"/>
        <v>0.15001485605869103</v>
      </c>
      <c r="J16">
        <f t="shared" si="3"/>
        <v>0.15001485605869103</v>
      </c>
      <c r="K16">
        <f t="shared" si="3"/>
        <v>0.15001485605869103</v>
      </c>
      <c r="L16">
        <f t="shared" si="3"/>
        <v>0.15001485605869103</v>
      </c>
      <c r="M16">
        <f t="shared" si="3"/>
        <v>0.15001485605869103</v>
      </c>
      <c r="N16">
        <f t="shared" si="3"/>
        <v>0.15001485605869103</v>
      </c>
      <c r="O16">
        <f t="shared" si="4"/>
        <v>0.15001485605869103</v>
      </c>
      <c r="P16">
        <f t="shared" si="4"/>
        <v>0.15001485605869103</v>
      </c>
      <c r="Q16">
        <f t="shared" si="4"/>
        <v>0.15001485605869103</v>
      </c>
      <c r="R16">
        <f t="shared" si="4"/>
        <v>0.15001485605869103</v>
      </c>
      <c r="S16">
        <f t="shared" si="4"/>
        <v>0.15001485605869103</v>
      </c>
      <c r="T16">
        <f t="shared" si="4"/>
        <v>0.15001485605869103</v>
      </c>
      <c r="U16">
        <f t="shared" si="4"/>
        <v>0.15001485605869103</v>
      </c>
      <c r="V16">
        <f t="shared" si="4"/>
        <v>0.15001485605869103</v>
      </c>
      <c r="W16">
        <f t="shared" si="4"/>
        <v>0.15001485605869103</v>
      </c>
      <c r="X16">
        <f t="shared" si="4"/>
        <v>0.15001485605869103</v>
      </c>
      <c r="Y16">
        <f t="shared" si="5"/>
        <v>0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6"/>
        <v>0</v>
      </c>
      <c r="AJ16">
        <f t="shared" si="6"/>
        <v>0</v>
      </c>
      <c r="AK16">
        <f t="shared" si="6"/>
        <v>0</v>
      </c>
      <c r="AL16">
        <f t="shared" si="6"/>
        <v>0</v>
      </c>
      <c r="AM16">
        <f t="shared" si="6"/>
        <v>0</v>
      </c>
      <c r="AN16">
        <f t="shared" si="6"/>
        <v>0</v>
      </c>
      <c r="AO16">
        <f t="shared" si="6"/>
        <v>0</v>
      </c>
      <c r="AP16">
        <f t="shared" si="6"/>
        <v>0</v>
      </c>
      <c r="AQ16">
        <f t="shared" si="6"/>
        <v>0</v>
      </c>
      <c r="AR16">
        <f t="shared" si="6"/>
        <v>0</v>
      </c>
      <c r="AS16">
        <f t="shared" si="7"/>
        <v>0</v>
      </c>
      <c r="AT16">
        <f t="shared" si="7"/>
        <v>0</v>
      </c>
      <c r="AU16">
        <f t="shared" si="7"/>
        <v>0</v>
      </c>
      <c r="AV16">
        <f t="shared" si="7"/>
        <v>0</v>
      </c>
      <c r="AW16">
        <f t="shared" si="7"/>
        <v>0</v>
      </c>
      <c r="AX16">
        <f t="shared" si="7"/>
        <v>0</v>
      </c>
      <c r="AY16">
        <f t="shared" si="7"/>
        <v>0</v>
      </c>
      <c r="AZ16">
        <f t="shared" si="7"/>
        <v>0</v>
      </c>
      <c r="BA16">
        <f t="shared" si="7"/>
        <v>0</v>
      </c>
      <c r="BB16">
        <f t="shared" si="7"/>
        <v>0</v>
      </c>
    </row>
    <row r="17" spans="2:54">
      <c r="B17">
        <f t="shared" si="9"/>
        <v>7</v>
      </c>
      <c r="C17">
        <f t="shared" si="8"/>
        <v>0.10602553736478912</v>
      </c>
      <c r="D17">
        <f t="shared" si="2"/>
        <v>0.10602553716271426</v>
      </c>
      <c r="E17">
        <f t="shared" si="3"/>
        <v>0.10602553736478919</v>
      </c>
      <c r="F17">
        <f t="shared" si="3"/>
        <v>0.10602553736478919</v>
      </c>
      <c r="G17">
        <f t="shared" si="3"/>
        <v>0.10602553736478919</v>
      </c>
      <c r="H17">
        <f t="shared" si="3"/>
        <v>0.10602553736478919</v>
      </c>
      <c r="I17">
        <f t="shared" si="3"/>
        <v>0.10602553736478919</v>
      </c>
      <c r="J17">
        <f t="shared" si="3"/>
        <v>0.10602553736478919</v>
      </c>
      <c r="K17">
        <f t="shared" si="3"/>
        <v>0.10602553736478919</v>
      </c>
      <c r="L17">
        <f t="shared" si="3"/>
        <v>0.10602553736478919</v>
      </c>
      <c r="M17">
        <f t="shared" si="3"/>
        <v>0.10602553736478919</v>
      </c>
      <c r="N17">
        <f t="shared" si="3"/>
        <v>0.10602553736478919</v>
      </c>
      <c r="O17">
        <f t="shared" si="4"/>
        <v>0.10602553736478919</v>
      </c>
      <c r="P17">
        <f t="shared" si="4"/>
        <v>0.10602553736478919</v>
      </c>
      <c r="Q17">
        <f t="shared" si="4"/>
        <v>0.10602553736478919</v>
      </c>
      <c r="R17">
        <f t="shared" si="4"/>
        <v>0.10602553736478919</v>
      </c>
      <c r="S17">
        <f t="shared" si="4"/>
        <v>0.10602553736478919</v>
      </c>
      <c r="T17">
        <f t="shared" si="4"/>
        <v>0.10602553736478919</v>
      </c>
      <c r="U17">
        <f t="shared" si="4"/>
        <v>0.10602553736478919</v>
      </c>
      <c r="V17">
        <f t="shared" si="4"/>
        <v>0.10602553736478919</v>
      </c>
      <c r="W17">
        <f t="shared" si="4"/>
        <v>0.10602553736478919</v>
      </c>
      <c r="X17">
        <f t="shared" si="4"/>
        <v>0.10602553736478919</v>
      </c>
      <c r="Y17">
        <f t="shared" si="5"/>
        <v>0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6"/>
        <v>0</v>
      </c>
      <c r="AJ17">
        <f t="shared" si="6"/>
        <v>0</v>
      </c>
      <c r="AK17">
        <f t="shared" si="6"/>
        <v>0</v>
      </c>
      <c r="AL17">
        <f t="shared" si="6"/>
        <v>0</v>
      </c>
      <c r="AM17">
        <f t="shared" si="6"/>
        <v>0</v>
      </c>
      <c r="AN17">
        <f t="shared" si="6"/>
        <v>0</v>
      </c>
      <c r="AO17">
        <f t="shared" si="6"/>
        <v>0</v>
      </c>
      <c r="AP17">
        <f t="shared" si="6"/>
        <v>0</v>
      </c>
      <c r="AQ17">
        <f t="shared" si="6"/>
        <v>0</v>
      </c>
      <c r="AR17">
        <f t="shared" si="6"/>
        <v>0</v>
      </c>
      <c r="AS17">
        <f t="shared" si="7"/>
        <v>0</v>
      </c>
      <c r="AT17">
        <f t="shared" si="7"/>
        <v>0</v>
      </c>
      <c r="AU17">
        <f t="shared" si="7"/>
        <v>0</v>
      </c>
      <c r="AV17">
        <f t="shared" si="7"/>
        <v>0</v>
      </c>
      <c r="AW17">
        <f t="shared" si="7"/>
        <v>0</v>
      </c>
      <c r="AX17">
        <f t="shared" si="7"/>
        <v>0</v>
      </c>
      <c r="AY17">
        <f t="shared" si="7"/>
        <v>0</v>
      </c>
      <c r="AZ17">
        <f t="shared" si="7"/>
        <v>0</v>
      </c>
      <c r="BA17">
        <f t="shared" si="7"/>
        <v>0</v>
      </c>
      <c r="BB17">
        <f t="shared" si="7"/>
        <v>0</v>
      </c>
    </row>
    <row r="18" spans="2:54">
      <c r="B18">
        <f t="shared" si="9"/>
        <v>8</v>
      </c>
      <c r="C18">
        <f t="shared" si="8"/>
        <v>6.4870887992930115E-2</v>
      </c>
      <c r="D18">
        <f t="shared" si="2"/>
        <v>6.4870887869292251E-2</v>
      </c>
      <c r="E18">
        <f t="shared" si="3"/>
        <v>6.4870887992930198E-2</v>
      </c>
      <c r="F18">
        <f t="shared" si="3"/>
        <v>6.4870887992930198E-2</v>
      </c>
      <c r="G18">
        <f t="shared" si="3"/>
        <v>6.4870887992930198E-2</v>
      </c>
      <c r="H18">
        <f t="shared" si="3"/>
        <v>6.4870887992930198E-2</v>
      </c>
      <c r="I18">
        <f t="shared" si="3"/>
        <v>6.4870887992930198E-2</v>
      </c>
      <c r="J18">
        <f t="shared" si="3"/>
        <v>6.4870887992930198E-2</v>
      </c>
      <c r="K18">
        <f t="shared" si="3"/>
        <v>6.4870887992930198E-2</v>
      </c>
      <c r="L18">
        <f t="shared" si="3"/>
        <v>6.4870887992930198E-2</v>
      </c>
      <c r="M18">
        <f t="shared" si="3"/>
        <v>6.4870887992930198E-2</v>
      </c>
      <c r="N18">
        <f t="shared" si="3"/>
        <v>6.4870887992930198E-2</v>
      </c>
      <c r="O18">
        <f t="shared" si="4"/>
        <v>6.4870887992930198E-2</v>
      </c>
      <c r="P18">
        <f t="shared" si="4"/>
        <v>6.4870887992930198E-2</v>
      </c>
      <c r="Q18">
        <f t="shared" si="4"/>
        <v>6.4870887992930198E-2</v>
      </c>
      <c r="R18">
        <f t="shared" si="4"/>
        <v>6.4870887992930198E-2</v>
      </c>
      <c r="S18">
        <f t="shared" si="4"/>
        <v>6.4870887992930198E-2</v>
      </c>
      <c r="T18">
        <f t="shared" si="4"/>
        <v>6.4870887992930198E-2</v>
      </c>
      <c r="U18">
        <f t="shared" si="4"/>
        <v>6.4870887992930198E-2</v>
      </c>
      <c r="V18">
        <f t="shared" si="4"/>
        <v>6.4870887992930198E-2</v>
      </c>
      <c r="W18">
        <f t="shared" si="4"/>
        <v>6.4870887992930198E-2</v>
      </c>
      <c r="X18">
        <f t="shared" si="4"/>
        <v>6.4870887992930198E-2</v>
      </c>
      <c r="Y18">
        <f t="shared" si="5"/>
        <v>0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6"/>
        <v>0</v>
      </c>
      <c r="AJ18">
        <f t="shared" si="6"/>
        <v>0</v>
      </c>
      <c r="AK18">
        <f t="shared" si="6"/>
        <v>0</v>
      </c>
      <c r="AL18">
        <f t="shared" si="6"/>
        <v>0</v>
      </c>
      <c r="AM18">
        <f t="shared" si="6"/>
        <v>0</v>
      </c>
      <c r="AN18">
        <f t="shared" si="6"/>
        <v>0</v>
      </c>
      <c r="AO18">
        <f t="shared" si="6"/>
        <v>0</v>
      </c>
      <c r="AP18">
        <f t="shared" si="6"/>
        <v>0</v>
      </c>
      <c r="AQ18">
        <f t="shared" si="6"/>
        <v>0</v>
      </c>
      <c r="AR18">
        <f t="shared" si="6"/>
        <v>0</v>
      </c>
      <c r="AS18">
        <f t="shared" si="7"/>
        <v>0</v>
      </c>
      <c r="AT18">
        <f t="shared" si="7"/>
        <v>0</v>
      </c>
      <c r="AU18">
        <f t="shared" si="7"/>
        <v>0</v>
      </c>
      <c r="AV18">
        <f t="shared" si="7"/>
        <v>0</v>
      </c>
      <c r="AW18">
        <f t="shared" si="7"/>
        <v>0</v>
      </c>
      <c r="AX18">
        <f t="shared" si="7"/>
        <v>0</v>
      </c>
      <c r="AY18">
        <f t="shared" si="7"/>
        <v>0</v>
      </c>
      <c r="AZ18">
        <f t="shared" si="7"/>
        <v>0</v>
      </c>
      <c r="BA18">
        <f t="shared" si="7"/>
        <v>0</v>
      </c>
      <c r="BB18">
        <f t="shared" si="7"/>
        <v>0</v>
      </c>
    </row>
    <row r="19" spans="2:54">
      <c r="B19">
        <f t="shared" si="9"/>
        <v>9</v>
      </c>
      <c r="C19">
        <f t="shared" si="8"/>
        <v>3.4901296464032595E-2</v>
      </c>
      <c r="D19">
        <f t="shared" si="2"/>
        <v>3.4901296397513958E-2</v>
      </c>
      <c r="E19">
        <f t="shared" si="3"/>
        <v>3.4901296464032623E-2</v>
      </c>
      <c r="F19">
        <f t="shared" si="3"/>
        <v>3.4901296464032623E-2</v>
      </c>
      <c r="G19">
        <f t="shared" si="3"/>
        <v>3.4901296464032623E-2</v>
      </c>
      <c r="H19">
        <f t="shared" si="3"/>
        <v>3.4901296464032623E-2</v>
      </c>
      <c r="I19">
        <f t="shared" si="3"/>
        <v>3.4901296464032623E-2</v>
      </c>
      <c r="J19">
        <f t="shared" si="3"/>
        <v>3.4901296464032623E-2</v>
      </c>
      <c r="K19">
        <f t="shared" si="3"/>
        <v>3.4901296464032623E-2</v>
      </c>
      <c r="L19">
        <f t="shared" si="3"/>
        <v>3.4901296464032623E-2</v>
      </c>
      <c r="M19">
        <f t="shared" si="3"/>
        <v>3.4901296464032623E-2</v>
      </c>
      <c r="N19">
        <f t="shared" si="3"/>
        <v>3.4901296464032623E-2</v>
      </c>
      <c r="O19">
        <f t="shared" si="4"/>
        <v>3.4901296464032623E-2</v>
      </c>
      <c r="P19">
        <f t="shared" si="4"/>
        <v>3.4901296464032623E-2</v>
      </c>
      <c r="Q19">
        <f t="shared" si="4"/>
        <v>3.4901296464032623E-2</v>
      </c>
      <c r="R19">
        <f t="shared" si="4"/>
        <v>3.4901296464032623E-2</v>
      </c>
      <c r="S19">
        <f t="shared" si="4"/>
        <v>3.4901296464032623E-2</v>
      </c>
      <c r="T19">
        <f t="shared" si="4"/>
        <v>3.4901296464032623E-2</v>
      </c>
      <c r="U19">
        <f t="shared" si="4"/>
        <v>3.4901296464032623E-2</v>
      </c>
      <c r="V19">
        <f t="shared" si="4"/>
        <v>3.4901296464032623E-2</v>
      </c>
      <c r="W19">
        <f t="shared" si="4"/>
        <v>3.4901296464032623E-2</v>
      </c>
      <c r="X19">
        <f t="shared" si="4"/>
        <v>3.4901296464032623E-2</v>
      </c>
      <c r="Y19">
        <f t="shared" si="5"/>
        <v>0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  <c r="AO19">
        <f t="shared" si="6"/>
        <v>0</v>
      </c>
      <c r="AP19">
        <f t="shared" si="6"/>
        <v>0</v>
      </c>
      <c r="AQ19">
        <f t="shared" si="6"/>
        <v>0</v>
      </c>
      <c r="AR19">
        <f t="shared" si="6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7"/>
        <v>0</v>
      </c>
      <c r="AX19">
        <f t="shared" si="7"/>
        <v>0</v>
      </c>
      <c r="AY19">
        <f t="shared" si="7"/>
        <v>0</v>
      </c>
      <c r="AZ19">
        <f t="shared" si="7"/>
        <v>0</v>
      </c>
      <c r="BA19">
        <f t="shared" si="7"/>
        <v>0</v>
      </c>
      <c r="BB19">
        <f t="shared" si="7"/>
        <v>0</v>
      </c>
    </row>
    <row r="20" spans="2:54">
      <c r="B20">
        <f t="shared" si="9"/>
        <v>10</v>
      </c>
      <c r="C20">
        <f t="shared" si="8"/>
        <v>1.6715884095931412E-2</v>
      </c>
      <c r="D20">
        <f t="shared" si="2"/>
        <v>1.6715884064072505E-2</v>
      </c>
      <c r="E20">
        <f t="shared" ref="E20:N29" si="10">_xlfn.BINOM.DIST($B20,Size,E$8,FALSE)</f>
        <v>1.6715884095931444E-2</v>
      </c>
      <c r="F20">
        <f t="shared" si="10"/>
        <v>1.6715884095931444E-2</v>
      </c>
      <c r="G20">
        <f t="shared" si="10"/>
        <v>1.6715884095931444E-2</v>
      </c>
      <c r="H20">
        <f t="shared" si="10"/>
        <v>1.6715884095931444E-2</v>
      </c>
      <c r="I20">
        <f t="shared" si="10"/>
        <v>1.6715884095931444E-2</v>
      </c>
      <c r="J20">
        <f t="shared" si="10"/>
        <v>1.6715884095931444E-2</v>
      </c>
      <c r="K20">
        <f t="shared" si="10"/>
        <v>1.6715884095931444E-2</v>
      </c>
      <c r="L20">
        <f t="shared" si="10"/>
        <v>1.6715884095931444E-2</v>
      </c>
      <c r="M20">
        <f t="shared" si="10"/>
        <v>1.6715884095931444E-2</v>
      </c>
      <c r="N20">
        <f t="shared" si="10"/>
        <v>1.6715884095931444E-2</v>
      </c>
      <c r="O20">
        <f t="shared" ref="O20:X29" si="11">_xlfn.BINOM.DIST($B20,Size,O$8,FALSE)</f>
        <v>1.6715884095931444E-2</v>
      </c>
      <c r="P20">
        <f t="shared" si="11"/>
        <v>1.6715884095931444E-2</v>
      </c>
      <c r="Q20">
        <f t="shared" si="11"/>
        <v>1.6715884095931444E-2</v>
      </c>
      <c r="R20">
        <f t="shared" si="11"/>
        <v>1.6715884095931444E-2</v>
      </c>
      <c r="S20">
        <f t="shared" si="11"/>
        <v>1.6715884095931444E-2</v>
      </c>
      <c r="T20">
        <f t="shared" si="11"/>
        <v>1.6715884095931444E-2</v>
      </c>
      <c r="U20">
        <f t="shared" si="11"/>
        <v>1.6715884095931444E-2</v>
      </c>
      <c r="V20">
        <f t="shared" si="11"/>
        <v>1.6715884095931444E-2</v>
      </c>
      <c r="W20">
        <f t="shared" si="11"/>
        <v>1.6715884095931444E-2</v>
      </c>
      <c r="X20">
        <f t="shared" si="11"/>
        <v>1.6715884095931444E-2</v>
      </c>
      <c r="Y20">
        <f t="shared" ref="Y20:AH29" si="12">_xlfn.BINOM.DIST($B20,Size,Y$8,FALSE)</f>
        <v>0</v>
      </c>
      <c r="Z20">
        <f t="shared" si="12"/>
        <v>0</v>
      </c>
      <c r="AA20">
        <f t="shared" si="12"/>
        <v>0</v>
      </c>
      <c r="AB20">
        <f t="shared" si="12"/>
        <v>0</v>
      </c>
      <c r="AC20">
        <f t="shared" si="12"/>
        <v>0</v>
      </c>
      <c r="AD20">
        <f t="shared" si="12"/>
        <v>0</v>
      </c>
      <c r="AE20">
        <f t="shared" si="12"/>
        <v>0</v>
      </c>
      <c r="AF20">
        <f t="shared" si="12"/>
        <v>0</v>
      </c>
      <c r="AG20">
        <f t="shared" si="12"/>
        <v>0</v>
      </c>
      <c r="AH20">
        <f t="shared" si="12"/>
        <v>0</v>
      </c>
      <c r="AI20">
        <f t="shared" ref="AI20:AR29" si="13">_xlfn.BINOM.DIST($B20,Size,AI$8,FALSE)</f>
        <v>0</v>
      </c>
      <c r="AJ20">
        <f t="shared" si="13"/>
        <v>0</v>
      </c>
      <c r="AK20">
        <f t="shared" si="13"/>
        <v>0</v>
      </c>
      <c r="AL20">
        <f t="shared" si="13"/>
        <v>0</v>
      </c>
      <c r="AM20">
        <f t="shared" si="13"/>
        <v>0</v>
      </c>
      <c r="AN20">
        <f t="shared" si="13"/>
        <v>0</v>
      </c>
      <c r="AO20">
        <f t="shared" si="13"/>
        <v>0</v>
      </c>
      <c r="AP20">
        <f t="shared" si="13"/>
        <v>0</v>
      </c>
      <c r="AQ20">
        <f t="shared" si="13"/>
        <v>0</v>
      </c>
      <c r="AR20">
        <f t="shared" si="13"/>
        <v>0</v>
      </c>
      <c r="AS20">
        <f t="shared" ref="AS20:BB29" si="14">_xlfn.BINOM.DIST($B20,Size,AS$8,FALSE)</f>
        <v>0</v>
      </c>
      <c r="AT20">
        <f t="shared" si="14"/>
        <v>0</v>
      </c>
      <c r="AU20">
        <f t="shared" si="14"/>
        <v>0</v>
      </c>
      <c r="AV20">
        <f t="shared" si="14"/>
        <v>0</v>
      </c>
      <c r="AW20">
        <f t="shared" si="14"/>
        <v>0</v>
      </c>
      <c r="AX20">
        <f t="shared" si="14"/>
        <v>0</v>
      </c>
      <c r="AY20">
        <f t="shared" si="14"/>
        <v>0</v>
      </c>
      <c r="AZ20">
        <f t="shared" si="14"/>
        <v>0</v>
      </c>
      <c r="BA20">
        <f t="shared" si="14"/>
        <v>0</v>
      </c>
      <c r="BB20">
        <f t="shared" si="14"/>
        <v>0</v>
      </c>
    </row>
    <row r="21" spans="2:54">
      <c r="B21">
        <f t="shared" si="9"/>
        <v>11</v>
      </c>
      <c r="C21">
        <f t="shared" si="8"/>
        <v>7.1982276011187847E-3</v>
      </c>
      <c r="D21">
        <f t="shared" si="2"/>
        <v>7.1982275873996313E-3</v>
      </c>
      <c r="E21">
        <f t="shared" si="10"/>
        <v>7.1982276011187916E-3</v>
      </c>
      <c r="F21">
        <f t="shared" si="10"/>
        <v>7.1982276011187916E-3</v>
      </c>
      <c r="G21">
        <f t="shared" si="10"/>
        <v>7.1982276011187916E-3</v>
      </c>
      <c r="H21">
        <f t="shared" si="10"/>
        <v>7.1982276011187916E-3</v>
      </c>
      <c r="I21">
        <f t="shared" si="10"/>
        <v>7.1982276011187916E-3</v>
      </c>
      <c r="J21">
        <f t="shared" si="10"/>
        <v>7.1982276011187916E-3</v>
      </c>
      <c r="K21">
        <f t="shared" si="10"/>
        <v>7.1982276011187916E-3</v>
      </c>
      <c r="L21">
        <f t="shared" si="10"/>
        <v>7.1982276011187916E-3</v>
      </c>
      <c r="M21">
        <f t="shared" si="10"/>
        <v>7.1982276011187916E-3</v>
      </c>
      <c r="N21">
        <f t="shared" si="10"/>
        <v>7.1982276011187916E-3</v>
      </c>
      <c r="O21">
        <f t="shared" si="11"/>
        <v>7.1982276011187916E-3</v>
      </c>
      <c r="P21">
        <f t="shared" si="11"/>
        <v>7.1982276011187916E-3</v>
      </c>
      <c r="Q21">
        <f t="shared" si="11"/>
        <v>7.1982276011187916E-3</v>
      </c>
      <c r="R21">
        <f t="shared" si="11"/>
        <v>7.1982276011187916E-3</v>
      </c>
      <c r="S21">
        <f t="shared" si="11"/>
        <v>7.1982276011187916E-3</v>
      </c>
      <c r="T21">
        <f t="shared" si="11"/>
        <v>7.1982276011187916E-3</v>
      </c>
      <c r="U21">
        <f t="shared" si="11"/>
        <v>7.1982276011187916E-3</v>
      </c>
      <c r="V21">
        <f t="shared" si="11"/>
        <v>7.1982276011187916E-3</v>
      </c>
      <c r="W21">
        <f t="shared" si="11"/>
        <v>7.1982276011187916E-3</v>
      </c>
      <c r="X21">
        <f t="shared" si="11"/>
        <v>7.1982276011187916E-3</v>
      </c>
      <c r="Y21">
        <f t="shared" si="12"/>
        <v>0</v>
      </c>
      <c r="Z21">
        <f t="shared" si="12"/>
        <v>0</v>
      </c>
      <c r="AA21">
        <f t="shared" si="12"/>
        <v>0</v>
      </c>
      <c r="AB21">
        <f t="shared" si="12"/>
        <v>0</v>
      </c>
      <c r="AC21">
        <f t="shared" si="12"/>
        <v>0</v>
      </c>
      <c r="AD21">
        <f t="shared" si="12"/>
        <v>0</v>
      </c>
      <c r="AE21">
        <f t="shared" si="12"/>
        <v>0</v>
      </c>
      <c r="AF21">
        <f t="shared" si="12"/>
        <v>0</v>
      </c>
      <c r="AG21">
        <f t="shared" si="12"/>
        <v>0</v>
      </c>
      <c r="AH21">
        <f t="shared" si="12"/>
        <v>0</v>
      </c>
      <c r="AI21">
        <f t="shared" si="13"/>
        <v>0</v>
      </c>
      <c r="AJ21">
        <f t="shared" si="13"/>
        <v>0</v>
      </c>
      <c r="AK21">
        <f t="shared" si="13"/>
        <v>0</v>
      </c>
      <c r="AL21">
        <f t="shared" si="13"/>
        <v>0</v>
      </c>
      <c r="AM21">
        <f t="shared" si="13"/>
        <v>0</v>
      </c>
      <c r="AN21">
        <f t="shared" si="13"/>
        <v>0</v>
      </c>
      <c r="AO21">
        <f t="shared" si="13"/>
        <v>0</v>
      </c>
      <c r="AP21">
        <f t="shared" si="13"/>
        <v>0</v>
      </c>
      <c r="AQ21">
        <f t="shared" si="13"/>
        <v>0</v>
      </c>
      <c r="AR21">
        <f t="shared" si="13"/>
        <v>0</v>
      </c>
      <c r="AS21">
        <f t="shared" si="14"/>
        <v>0</v>
      </c>
      <c r="AT21">
        <f t="shared" si="14"/>
        <v>0</v>
      </c>
      <c r="AU21">
        <f t="shared" si="14"/>
        <v>0</v>
      </c>
      <c r="AV21">
        <f t="shared" si="14"/>
        <v>0</v>
      </c>
      <c r="AW21">
        <f t="shared" si="14"/>
        <v>0</v>
      </c>
      <c r="AX21">
        <f t="shared" si="14"/>
        <v>0</v>
      </c>
      <c r="AY21">
        <f t="shared" si="14"/>
        <v>0</v>
      </c>
      <c r="AZ21">
        <f t="shared" si="14"/>
        <v>0</v>
      </c>
      <c r="BA21">
        <f t="shared" si="14"/>
        <v>0</v>
      </c>
      <c r="BB21">
        <f t="shared" si="14"/>
        <v>0</v>
      </c>
    </row>
    <row r="22" spans="2:54">
      <c r="B22">
        <f t="shared" si="9"/>
        <v>12</v>
      </c>
      <c r="C22">
        <f t="shared" si="8"/>
        <v>2.8098344583314568E-3</v>
      </c>
      <c r="D22">
        <f t="shared" si="2"/>
        <v>2.8098344529761728E-3</v>
      </c>
      <c r="E22">
        <f t="shared" si="10"/>
        <v>2.8098344583314594E-3</v>
      </c>
      <c r="F22">
        <f t="shared" si="10"/>
        <v>2.8098344583314594E-3</v>
      </c>
      <c r="G22">
        <f t="shared" si="10"/>
        <v>2.8098344583314594E-3</v>
      </c>
      <c r="H22">
        <f t="shared" si="10"/>
        <v>2.8098344583314594E-3</v>
      </c>
      <c r="I22">
        <f t="shared" si="10"/>
        <v>2.8098344583314594E-3</v>
      </c>
      <c r="J22">
        <f t="shared" si="10"/>
        <v>2.8098344583314594E-3</v>
      </c>
      <c r="K22">
        <f t="shared" si="10"/>
        <v>2.8098344583314594E-3</v>
      </c>
      <c r="L22">
        <f t="shared" si="10"/>
        <v>2.8098344583314594E-3</v>
      </c>
      <c r="M22">
        <f t="shared" si="10"/>
        <v>2.8098344583314594E-3</v>
      </c>
      <c r="N22">
        <f t="shared" si="10"/>
        <v>2.8098344583314594E-3</v>
      </c>
      <c r="O22">
        <f t="shared" si="11"/>
        <v>2.8098344583314594E-3</v>
      </c>
      <c r="P22">
        <f t="shared" si="11"/>
        <v>2.8098344583314594E-3</v>
      </c>
      <c r="Q22">
        <f t="shared" si="11"/>
        <v>2.8098344583314594E-3</v>
      </c>
      <c r="R22">
        <f t="shared" si="11"/>
        <v>2.8098344583314594E-3</v>
      </c>
      <c r="S22">
        <f t="shared" si="11"/>
        <v>2.8098344583314594E-3</v>
      </c>
      <c r="T22">
        <f t="shared" si="11"/>
        <v>2.8098344583314594E-3</v>
      </c>
      <c r="U22">
        <f t="shared" si="11"/>
        <v>2.8098344583314594E-3</v>
      </c>
      <c r="V22">
        <f t="shared" si="11"/>
        <v>2.8098344583314594E-3</v>
      </c>
      <c r="W22">
        <f t="shared" si="11"/>
        <v>2.8098344583314594E-3</v>
      </c>
      <c r="X22">
        <f t="shared" si="11"/>
        <v>2.8098344583314594E-3</v>
      </c>
      <c r="Y22">
        <f t="shared" si="12"/>
        <v>0</v>
      </c>
      <c r="Z22">
        <f t="shared" si="12"/>
        <v>0</v>
      </c>
      <c r="AA22">
        <f t="shared" si="12"/>
        <v>0</v>
      </c>
      <c r="AB22">
        <f t="shared" si="12"/>
        <v>0</v>
      </c>
      <c r="AC22">
        <f t="shared" si="12"/>
        <v>0</v>
      </c>
      <c r="AD22">
        <f t="shared" si="12"/>
        <v>0</v>
      </c>
      <c r="AE22">
        <f t="shared" si="12"/>
        <v>0</v>
      </c>
      <c r="AF22">
        <f t="shared" si="12"/>
        <v>0</v>
      </c>
      <c r="AG22">
        <f t="shared" si="12"/>
        <v>0</v>
      </c>
      <c r="AH22">
        <f t="shared" si="12"/>
        <v>0</v>
      </c>
      <c r="AI22">
        <f t="shared" si="13"/>
        <v>0</v>
      </c>
      <c r="AJ22">
        <f t="shared" si="13"/>
        <v>0</v>
      </c>
      <c r="AK22">
        <f t="shared" si="13"/>
        <v>0</v>
      </c>
      <c r="AL22">
        <f t="shared" si="13"/>
        <v>0</v>
      </c>
      <c r="AM22">
        <f t="shared" si="13"/>
        <v>0</v>
      </c>
      <c r="AN22">
        <f t="shared" si="13"/>
        <v>0</v>
      </c>
      <c r="AO22">
        <f t="shared" si="13"/>
        <v>0</v>
      </c>
      <c r="AP22">
        <f t="shared" si="13"/>
        <v>0</v>
      </c>
      <c r="AQ22">
        <f t="shared" si="13"/>
        <v>0</v>
      </c>
      <c r="AR22">
        <f t="shared" si="13"/>
        <v>0</v>
      </c>
      <c r="AS22">
        <f t="shared" si="14"/>
        <v>0</v>
      </c>
      <c r="AT22">
        <f t="shared" si="14"/>
        <v>0</v>
      </c>
      <c r="AU22">
        <f t="shared" si="14"/>
        <v>0</v>
      </c>
      <c r="AV22">
        <f t="shared" si="14"/>
        <v>0</v>
      </c>
      <c r="AW22">
        <f t="shared" si="14"/>
        <v>0</v>
      </c>
      <c r="AX22">
        <f t="shared" si="14"/>
        <v>0</v>
      </c>
      <c r="AY22">
        <f t="shared" si="14"/>
        <v>0</v>
      </c>
      <c r="AZ22">
        <f t="shared" si="14"/>
        <v>0</v>
      </c>
      <c r="BA22">
        <f t="shared" si="14"/>
        <v>0</v>
      </c>
      <c r="BB22">
        <f t="shared" si="14"/>
        <v>0</v>
      </c>
    </row>
    <row r="23" spans="2:54">
      <c r="B23">
        <f t="shared" si="9"/>
        <v>13</v>
      </c>
      <c r="C23">
        <f t="shared" si="8"/>
        <v>1.0010746248306397E-3</v>
      </c>
      <c r="D23">
        <f t="shared" si="2"/>
        <v>1.0010746229226844E-3</v>
      </c>
      <c r="E23">
        <f t="shared" si="10"/>
        <v>1.0010746248306406E-3</v>
      </c>
      <c r="F23">
        <f t="shared" si="10"/>
        <v>1.0010746248306406E-3</v>
      </c>
      <c r="G23">
        <f t="shared" si="10"/>
        <v>1.0010746248306406E-3</v>
      </c>
      <c r="H23">
        <f t="shared" si="10"/>
        <v>1.0010746248306406E-3</v>
      </c>
      <c r="I23">
        <f t="shared" si="10"/>
        <v>1.0010746248306406E-3</v>
      </c>
      <c r="J23">
        <f t="shared" si="10"/>
        <v>1.0010746248306406E-3</v>
      </c>
      <c r="K23">
        <f t="shared" si="10"/>
        <v>1.0010746248306406E-3</v>
      </c>
      <c r="L23">
        <f t="shared" si="10"/>
        <v>1.0010746248306406E-3</v>
      </c>
      <c r="M23">
        <f t="shared" si="10"/>
        <v>1.0010746248306406E-3</v>
      </c>
      <c r="N23">
        <f t="shared" si="10"/>
        <v>1.0010746248306406E-3</v>
      </c>
      <c r="O23">
        <f t="shared" si="11"/>
        <v>1.0010746248306406E-3</v>
      </c>
      <c r="P23">
        <f t="shared" si="11"/>
        <v>1.0010746248306406E-3</v>
      </c>
      <c r="Q23">
        <f t="shared" si="11"/>
        <v>1.0010746248306406E-3</v>
      </c>
      <c r="R23">
        <f t="shared" si="11"/>
        <v>1.0010746248306406E-3</v>
      </c>
      <c r="S23">
        <f t="shared" si="11"/>
        <v>1.0010746248306406E-3</v>
      </c>
      <c r="T23">
        <f t="shared" si="11"/>
        <v>1.0010746248306406E-3</v>
      </c>
      <c r="U23">
        <f t="shared" si="11"/>
        <v>1.0010746248306406E-3</v>
      </c>
      <c r="V23">
        <f t="shared" si="11"/>
        <v>1.0010746248306406E-3</v>
      </c>
      <c r="W23">
        <f t="shared" si="11"/>
        <v>1.0010746248306406E-3</v>
      </c>
      <c r="X23">
        <f t="shared" si="11"/>
        <v>1.0010746248306406E-3</v>
      </c>
      <c r="Y23">
        <f t="shared" si="12"/>
        <v>0</v>
      </c>
      <c r="Z23">
        <f t="shared" si="12"/>
        <v>0</v>
      </c>
      <c r="AA23">
        <f t="shared" si="12"/>
        <v>0</v>
      </c>
      <c r="AB23">
        <f t="shared" si="12"/>
        <v>0</v>
      </c>
      <c r="AC23">
        <f t="shared" si="12"/>
        <v>0</v>
      </c>
      <c r="AD23">
        <f t="shared" si="12"/>
        <v>0</v>
      </c>
      <c r="AE23">
        <f t="shared" si="12"/>
        <v>0</v>
      </c>
      <c r="AF23">
        <f t="shared" si="12"/>
        <v>0</v>
      </c>
      <c r="AG23">
        <f t="shared" si="12"/>
        <v>0</v>
      </c>
      <c r="AH23">
        <f t="shared" si="12"/>
        <v>0</v>
      </c>
      <c r="AI23">
        <f t="shared" si="13"/>
        <v>0</v>
      </c>
      <c r="AJ23">
        <f t="shared" si="13"/>
        <v>0</v>
      </c>
      <c r="AK23">
        <f t="shared" si="13"/>
        <v>0</v>
      </c>
      <c r="AL23">
        <f t="shared" si="13"/>
        <v>0</v>
      </c>
      <c r="AM23">
        <f t="shared" si="13"/>
        <v>0</v>
      </c>
      <c r="AN23">
        <f t="shared" si="13"/>
        <v>0</v>
      </c>
      <c r="AO23">
        <f t="shared" si="13"/>
        <v>0</v>
      </c>
      <c r="AP23">
        <f t="shared" si="13"/>
        <v>0</v>
      </c>
      <c r="AQ23">
        <f t="shared" si="13"/>
        <v>0</v>
      </c>
      <c r="AR23">
        <f t="shared" si="13"/>
        <v>0</v>
      </c>
      <c r="AS23">
        <f t="shared" si="14"/>
        <v>0</v>
      </c>
      <c r="AT23">
        <f t="shared" si="14"/>
        <v>0</v>
      </c>
      <c r="AU23">
        <f t="shared" si="14"/>
        <v>0</v>
      </c>
      <c r="AV23">
        <f t="shared" si="14"/>
        <v>0</v>
      </c>
      <c r="AW23">
        <f t="shared" si="14"/>
        <v>0</v>
      </c>
      <c r="AX23">
        <f t="shared" si="14"/>
        <v>0</v>
      </c>
      <c r="AY23">
        <f t="shared" si="14"/>
        <v>0</v>
      </c>
      <c r="AZ23">
        <f t="shared" si="14"/>
        <v>0</v>
      </c>
      <c r="BA23">
        <f t="shared" si="14"/>
        <v>0</v>
      </c>
      <c r="BB23">
        <f t="shared" si="14"/>
        <v>0</v>
      </c>
    </row>
    <row r="24" spans="2:54">
      <c r="B24">
        <f t="shared" si="9"/>
        <v>14</v>
      </c>
      <c r="C24">
        <f t="shared" si="8"/>
        <v>3.2741914421152577E-4</v>
      </c>
      <c r="D24">
        <f t="shared" si="2"/>
        <v>3.2741914358749499E-4</v>
      </c>
      <c r="E24">
        <f t="shared" si="10"/>
        <v>3.2741914421152577E-4</v>
      </c>
      <c r="F24">
        <f t="shared" si="10"/>
        <v>3.2741914421152577E-4</v>
      </c>
      <c r="G24">
        <f t="shared" si="10"/>
        <v>3.2741914421152577E-4</v>
      </c>
      <c r="H24">
        <f t="shared" si="10"/>
        <v>3.2741914421152577E-4</v>
      </c>
      <c r="I24">
        <f t="shared" si="10"/>
        <v>3.2741914421152577E-4</v>
      </c>
      <c r="J24">
        <f t="shared" si="10"/>
        <v>3.2741914421152577E-4</v>
      </c>
      <c r="K24">
        <f t="shared" si="10"/>
        <v>3.2741914421152577E-4</v>
      </c>
      <c r="L24">
        <f t="shared" si="10"/>
        <v>3.2741914421152577E-4</v>
      </c>
      <c r="M24">
        <f t="shared" si="10"/>
        <v>3.2741914421152577E-4</v>
      </c>
      <c r="N24">
        <f t="shared" si="10"/>
        <v>3.2741914421152577E-4</v>
      </c>
      <c r="O24">
        <f t="shared" si="11"/>
        <v>3.2741914421152577E-4</v>
      </c>
      <c r="P24">
        <f t="shared" si="11"/>
        <v>3.2741914421152577E-4</v>
      </c>
      <c r="Q24">
        <f t="shared" si="11"/>
        <v>3.2741914421152577E-4</v>
      </c>
      <c r="R24">
        <f t="shared" si="11"/>
        <v>3.2741914421152577E-4</v>
      </c>
      <c r="S24">
        <f t="shared" si="11"/>
        <v>3.2741914421152577E-4</v>
      </c>
      <c r="T24">
        <f t="shared" si="11"/>
        <v>3.2741914421152577E-4</v>
      </c>
      <c r="U24">
        <f t="shared" si="11"/>
        <v>3.2741914421152577E-4</v>
      </c>
      <c r="V24">
        <f t="shared" si="11"/>
        <v>3.2741914421152577E-4</v>
      </c>
      <c r="W24">
        <f t="shared" si="11"/>
        <v>3.2741914421152577E-4</v>
      </c>
      <c r="X24">
        <f t="shared" si="11"/>
        <v>3.2741914421152577E-4</v>
      </c>
      <c r="Y24">
        <f t="shared" si="12"/>
        <v>0</v>
      </c>
      <c r="Z24">
        <f t="shared" si="12"/>
        <v>0</v>
      </c>
      <c r="AA24">
        <f t="shared" si="12"/>
        <v>0</v>
      </c>
      <c r="AB24">
        <f t="shared" si="12"/>
        <v>0</v>
      </c>
      <c r="AC24">
        <f t="shared" si="12"/>
        <v>0</v>
      </c>
      <c r="AD24">
        <f t="shared" si="12"/>
        <v>0</v>
      </c>
      <c r="AE24">
        <f t="shared" si="12"/>
        <v>0</v>
      </c>
      <c r="AF24">
        <f t="shared" si="12"/>
        <v>0</v>
      </c>
      <c r="AG24">
        <f t="shared" si="12"/>
        <v>0</v>
      </c>
      <c r="AH24">
        <f t="shared" si="12"/>
        <v>0</v>
      </c>
      <c r="AI24">
        <f t="shared" si="13"/>
        <v>0</v>
      </c>
      <c r="AJ24">
        <f t="shared" si="13"/>
        <v>0</v>
      </c>
      <c r="AK24">
        <f t="shared" si="13"/>
        <v>0</v>
      </c>
      <c r="AL24">
        <f t="shared" si="13"/>
        <v>0</v>
      </c>
      <c r="AM24">
        <f t="shared" si="13"/>
        <v>0</v>
      </c>
      <c r="AN24">
        <f t="shared" si="13"/>
        <v>0</v>
      </c>
      <c r="AO24">
        <f t="shared" si="13"/>
        <v>0</v>
      </c>
      <c r="AP24">
        <f t="shared" si="13"/>
        <v>0</v>
      </c>
      <c r="AQ24">
        <f t="shared" si="13"/>
        <v>0</v>
      </c>
      <c r="AR24">
        <f t="shared" si="13"/>
        <v>0</v>
      </c>
      <c r="AS24">
        <f t="shared" si="14"/>
        <v>0</v>
      </c>
      <c r="AT24">
        <f t="shared" si="14"/>
        <v>0</v>
      </c>
      <c r="AU24">
        <f t="shared" si="14"/>
        <v>0</v>
      </c>
      <c r="AV24">
        <f t="shared" si="14"/>
        <v>0</v>
      </c>
      <c r="AW24">
        <f t="shared" si="14"/>
        <v>0</v>
      </c>
      <c r="AX24">
        <f t="shared" si="14"/>
        <v>0</v>
      </c>
      <c r="AY24">
        <f t="shared" si="14"/>
        <v>0</v>
      </c>
      <c r="AZ24">
        <f t="shared" si="14"/>
        <v>0</v>
      </c>
      <c r="BA24">
        <f t="shared" si="14"/>
        <v>0</v>
      </c>
      <c r="BB24">
        <f t="shared" si="14"/>
        <v>0</v>
      </c>
    </row>
    <row r="25" spans="2:54">
      <c r="B25">
        <f t="shared" si="9"/>
        <v>15</v>
      </c>
      <c r="C25">
        <f t="shared" si="8"/>
        <v>9.880016281470588E-5</v>
      </c>
      <c r="D25">
        <f t="shared" si="2"/>
        <v>9.8800162626402175E-5</v>
      </c>
      <c r="E25">
        <f t="shared" si="10"/>
        <v>9.8800162814706219E-5</v>
      </c>
      <c r="F25">
        <f t="shared" si="10"/>
        <v>9.8800162814706219E-5</v>
      </c>
      <c r="G25">
        <f t="shared" si="10"/>
        <v>9.8800162814706219E-5</v>
      </c>
      <c r="H25">
        <f t="shared" si="10"/>
        <v>9.8800162814706219E-5</v>
      </c>
      <c r="I25">
        <f t="shared" si="10"/>
        <v>9.8800162814706219E-5</v>
      </c>
      <c r="J25">
        <f t="shared" si="10"/>
        <v>9.8800162814706219E-5</v>
      </c>
      <c r="K25">
        <f t="shared" si="10"/>
        <v>9.8800162814706219E-5</v>
      </c>
      <c r="L25">
        <f t="shared" si="10"/>
        <v>9.8800162814706219E-5</v>
      </c>
      <c r="M25">
        <f t="shared" si="10"/>
        <v>9.8800162814706219E-5</v>
      </c>
      <c r="N25">
        <f t="shared" si="10"/>
        <v>9.8800162814706219E-5</v>
      </c>
      <c r="O25">
        <f t="shared" si="11"/>
        <v>9.8800162814706219E-5</v>
      </c>
      <c r="P25">
        <f t="shared" si="11"/>
        <v>9.8800162814706219E-5</v>
      </c>
      <c r="Q25">
        <f t="shared" si="11"/>
        <v>9.8800162814706219E-5</v>
      </c>
      <c r="R25">
        <f t="shared" si="11"/>
        <v>9.8800162814706219E-5</v>
      </c>
      <c r="S25">
        <f t="shared" si="11"/>
        <v>9.8800162814706219E-5</v>
      </c>
      <c r="T25">
        <f t="shared" si="11"/>
        <v>9.8800162814706219E-5</v>
      </c>
      <c r="U25">
        <f t="shared" si="11"/>
        <v>9.8800162814706219E-5</v>
      </c>
      <c r="V25">
        <f t="shared" si="11"/>
        <v>9.8800162814706219E-5</v>
      </c>
      <c r="W25">
        <f t="shared" si="11"/>
        <v>9.8800162814706219E-5</v>
      </c>
      <c r="X25">
        <f t="shared" si="11"/>
        <v>9.8800162814706219E-5</v>
      </c>
      <c r="Y25">
        <f t="shared" si="12"/>
        <v>0</v>
      </c>
      <c r="Z25">
        <f t="shared" si="12"/>
        <v>0</v>
      </c>
      <c r="AA25">
        <f t="shared" si="12"/>
        <v>0</v>
      </c>
      <c r="AB25">
        <f t="shared" si="12"/>
        <v>0</v>
      </c>
      <c r="AC25">
        <f t="shared" si="12"/>
        <v>0</v>
      </c>
      <c r="AD25">
        <f t="shared" si="12"/>
        <v>0</v>
      </c>
      <c r="AE25">
        <f t="shared" si="12"/>
        <v>0</v>
      </c>
      <c r="AF25">
        <f t="shared" si="12"/>
        <v>0</v>
      </c>
      <c r="AG25">
        <f t="shared" si="12"/>
        <v>0</v>
      </c>
      <c r="AH25">
        <f t="shared" si="12"/>
        <v>0</v>
      </c>
      <c r="AI25">
        <f t="shared" si="13"/>
        <v>0</v>
      </c>
      <c r="AJ25">
        <f t="shared" si="13"/>
        <v>0</v>
      </c>
      <c r="AK25">
        <f t="shared" si="13"/>
        <v>0</v>
      </c>
      <c r="AL25">
        <f t="shared" si="13"/>
        <v>0</v>
      </c>
      <c r="AM25">
        <f t="shared" si="13"/>
        <v>0</v>
      </c>
      <c r="AN25">
        <f t="shared" si="13"/>
        <v>0</v>
      </c>
      <c r="AO25">
        <f t="shared" si="13"/>
        <v>0</v>
      </c>
      <c r="AP25">
        <f t="shared" si="13"/>
        <v>0</v>
      </c>
      <c r="AQ25">
        <f t="shared" si="13"/>
        <v>0</v>
      </c>
      <c r="AR25">
        <f t="shared" si="13"/>
        <v>0</v>
      </c>
      <c r="AS25">
        <f t="shared" si="14"/>
        <v>0</v>
      </c>
      <c r="AT25">
        <f t="shared" si="14"/>
        <v>0</v>
      </c>
      <c r="AU25">
        <f t="shared" si="14"/>
        <v>0</v>
      </c>
      <c r="AV25">
        <f t="shared" si="14"/>
        <v>0</v>
      </c>
      <c r="AW25">
        <f t="shared" si="14"/>
        <v>0</v>
      </c>
      <c r="AX25">
        <f t="shared" si="14"/>
        <v>0</v>
      </c>
      <c r="AY25">
        <f t="shared" si="14"/>
        <v>0</v>
      </c>
      <c r="AZ25">
        <f t="shared" si="14"/>
        <v>0</v>
      </c>
      <c r="BA25">
        <f t="shared" si="14"/>
        <v>0</v>
      </c>
      <c r="BB25">
        <f t="shared" si="14"/>
        <v>0</v>
      </c>
    </row>
    <row r="26" spans="2:54">
      <c r="B26">
        <f t="shared" si="9"/>
        <v>16</v>
      </c>
      <c r="C26">
        <f t="shared" si="8"/>
        <v>2.7625045523848682E-5</v>
      </c>
      <c r="D26">
        <f t="shared" si="2"/>
        <v>2.7625045471197988E-5</v>
      </c>
      <c r="E26">
        <f t="shared" si="10"/>
        <v>2.762504552384878E-5</v>
      </c>
      <c r="F26">
        <f t="shared" si="10"/>
        <v>2.762504552384878E-5</v>
      </c>
      <c r="G26">
        <f t="shared" si="10"/>
        <v>2.762504552384878E-5</v>
      </c>
      <c r="H26">
        <f t="shared" si="10"/>
        <v>2.762504552384878E-5</v>
      </c>
      <c r="I26">
        <f t="shared" si="10"/>
        <v>2.762504552384878E-5</v>
      </c>
      <c r="J26">
        <f t="shared" si="10"/>
        <v>2.762504552384878E-5</v>
      </c>
      <c r="K26">
        <f t="shared" si="10"/>
        <v>2.762504552384878E-5</v>
      </c>
      <c r="L26">
        <f t="shared" si="10"/>
        <v>2.762504552384878E-5</v>
      </c>
      <c r="M26">
        <f t="shared" si="10"/>
        <v>2.762504552384878E-5</v>
      </c>
      <c r="N26">
        <f t="shared" si="10"/>
        <v>2.762504552384878E-5</v>
      </c>
      <c r="O26">
        <f t="shared" si="11"/>
        <v>2.762504552384878E-5</v>
      </c>
      <c r="P26">
        <f t="shared" si="11"/>
        <v>2.762504552384878E-5</v>
      </c>
      <c r="Q26">
        <f t="shared" si="11"/>
        <v>2.762504552384878E-5</v>
      </c>
      <c r="R26">
        <f t="shared" si="11"/>
        <v>2.762504552384878E-5</v>
      </c>
      <c r="S26">
        <f t="shared" si="11"/>
        <v>2.762504552384878E-5</v>
      </c>
      <c r="T26">
        <f t="shared" si="11"/>
        <v>2.762504552384878E-5</v>
      </c>
      <c r="U26">
        <f t="shared" si="11"/>
        <v>2.762504552384878E-5</v>
      </c>
      <c r="V26">
        <f t="shared" si="11"/>
        <v>2.762504552384878E-5</v>
      </c>
      <c r="W26">
        <f t="shared" si="11"/>
        <v>2.762504552384878E-5</v>
      </c>
      <c r="X26">
        <f t="shared" si="11"/>
        <v>2.762504552384878E-5</v>
      </c>
      <c r="Y26">
        <f t="shared" si="12"/>
        <v>0</v>
      </c>
      <c r="Z26">
        <f t="shared" si="12"/>
        <v>0</v>
      </c>
      <c r="AA26">
        <f t="shared" si="12"/>
        <v>0</v>
      </c>
      <c r="AB26">
        <f t="shared" si="12"/>
        <v>0</v>
      </c>
      <c r="AC26">
        <f t="shared" si="12"/>
        <v>0</v>
      </c>
      <c r="AD26">
        <f t="shared" si="12"/>
        <v>0</v>
      </c>
      <c r="AE26">
        <f t="shared" si="12"/>
        <v>0</v>
      </c>
      <c r="AF26">
        <f t="shared" si="12"/>
        <v>0</v>
      </c>
      <c r="AG26">
        <f t="shared" si="12"/>
        <v>0</v>
      </c>
      <c r="AH26">
        <f t="shared" si="12"/>
        <v>0</v>
      </c>
      <c r="AI26">
        <f t="shared" si="13"/>
        <v>0</v>
      </c>
      <c r="AJ26">
        <f t="shared" si="13"/>
        <v>0</v>
      </c>
      <c r="AK26">
        <f t="shared" si="13"/>
        <v>0</v>
      </c>
      <c r="AL26">
        <f t="shared" si="13"/>
        <v>0</v>
      </c>
      <c r="AM26">
        <f t="shared" si="13"/>
        <v>0</v>
      </c>
      <c r="AN26">
        <f t="shared" si="13"/>
        <v>0</v>
      </c>
      <c r="AO26">
        <f t="shared" si="13"/>
        <v>0</v>
      </c>
      <c r="AP26">
        <f t="shared" si="13"/>
        <v>0</v>
      </c>
      <c r="AQ26">
        <f t="shared" si="13"/>
        <v>0</v>
      </c>
      <c r="AR26">
        <f t="shared" si="13"/>
        <v>0</v>
      </c>
      <c r="AS26">
        <f t="shared" si="14"/>
        <v>0</v>
      </c>
      <c r="AT26">
        <f t="shared" si="14"/>
        <v>0</v>
      </c>
      <c r="AU26">
        <f t="shared" si="14"/>
        <v>0</v>
      </c>
      <c r="AV26">
        <f t="shared" si="14"/>
        <v>0</v>
      </c>
      <c r="AW26">
        <f t="shared" si="14"/>
        <v>0</v>
      </c>
      <c r="AX26">
        <f t="shared" si="14"/>
        <v>0</v>
      </c>
      <c r="AY26">
        <f t="shared" si="14"/>
        <v>0</v>
      </c>
      <c r="AZ26">
        <f t="shared" si="14"/>
        <v>0</v>
      </c>
      <c r="BA26">
        <f t="shared" si="14"/>
        <v>0</v>
      </c>
      <c r="BB26">
        <f t="shared" si="14"/>
        <v>0</v>
      </c>
    </row>
    <row r="27" spans="2:54">
      <c r="B27">
        <f t="shared" si="9"/>
        <v>17</v>
      </c>
      <c r="C27">
        <f t="shared" si="8"/>
        <v>7.1842223653352695E-6</v>
      </c>
      <c r="D27">
        <f t="shared" si="2"/>
        <v>7.1842223516428286E-6</v>
      </c>
      <c r="E27">
        <f t="shared" si="10"/>
        <v>7.1842223653352949E-6</v>
      </c>
      <c r="F27">
        <f t="shared" si="10"/>
        <v>7.1842223653352949E-6</v>
      </c>
      <c r="G27">
        <f t="shared" si="10"/>
        <v>7.1842223653352949E-6</v>
      </c>
      <c r="H27">
        <f t="shared" si="10"/>
        <v>7.1842223653352949E-6</v>
      </c>
      <c r="I27">
        <f t="shared" si="10"/>
        <v>7.1842223653352949E-6</v>
      </c>
      <c r="J27">
        <f t="shared" si="10"/>
        <v>7.1842223653352949E-6</v>
      </c>
      <c r="K27">
        <f t="shared" si="10"/>
        <v>7.1842223653352949E-6</v>
      </c>
      <c r="L27">
        <f t="shared" si="10"/>
        <v>7.1842223653352949E-6</v>
      </c>
      <c r="M27">
        <f t="shared" si="10"/>
        <v>7.1842223653352949E-6</v>
      </c>
      <c r="N27">
        <f t="shared" si="10"/>
        <v>7.1842223653352949E-6</v>
      </c>
      <c r="O27">
        <f t="shared" si="11"/>
        <v>7.1842223653352949E-6</v>
      </c>
      <c r="P27">
        <f t="shared" si="11"/>
        <v>7.1842223653352949E-6</v>
      </c>
      <c r="Q27">
        <f t="shared" si="11"/>
        <v>7.1842223653352949E-6</v>
      </c>
      <c r="R27">
        <f t="shared" si="11"/>
        <v>7.1842223653352949E-6</v>
      </c>
      <c r="S27">
        <f t="shared" si="11"/>
        <v>7.1842223653352949E-6</v>
      </c>
      <c r="T27">
        <f t="shared" si="11"/>
        <v>7.1842223653352949E-6</v>
      </c>
      <c r="U27">
        <f t="shared" si="11"/>
        <v>7.1842223653352949E-6</v>
      </c>
      <c r="V27">
        <f t="shared" si="11"/>
        <v>7.1842223653352949E-6</v>
      </c>
      <c r="W27">
        <f t="shared" si="11"/>
        <v>7.1842223653352949E-6</v>
      </c>
      <c r="X27">
        <f t="shared" si="11"/>
        <v>7.1842223653352949E-6</v>
      </c>
      <c r="Y27">
        <f t="shared" si="12"/>
        <v>0</v>
      </c>
      <c r="Z27">
        <f t="shared" si="12"/>
        <v>0</v>
      </c>
      <c r="AA27">
        <f t="shared" si="12"/>
        <v>0</v>
      </c>
      <c r="AB27">
        <f t="shared" si="12"/>
        <v>0</v>
      </c>
      <c r="AC27">
        <f t="shared" si="12"/>
        <v>0</v>
      </c>
      <c r="AD27">
        <f t="shared" si="12"/>
        <v>0</v>
      </c>
      <c r="AE27">
        <f t="shared" si="12"/>
        <v>0</v>
      </c>
      <c r="AF27">
        <f t="shared" si="12"/>
        <v>0</v>
      </c>
      <c r="AG27">
        <f t="shared" si="12"/>
        <v>0</v>
      </c>
      <c r="AH27">
        <f t="shared" si="12"/>
        <v>0</v>
      </c>
      <c r="AI27">
        <f t="shared" si="13"/>
        <v>0</v>
      </c>
      <c r="AJ27">
        <f t="shared" si="13"/>
        <v>0</v>
      </c>
      <c r="AK27">
        <f t="shared" si="13"/>
        <v>0</v>
      </c>
      <c r="AL27">
        <f t="shared" si="13"/>
        <v>0</v>
      </c>
      <c r="AM27">
        <f t="shared" si="13"/>
        <v>0</v>
      </c>
      <c r="AN27">
        <f t="shared" si="13"/>
        <v>0</v>
      </c>
      <c r="AO27">
        <f t="shared" si="13"/>
        <v>0</v>
      </c>
      <c r="AP27">
        <f t="shared" si="13"/>
        <v>0</v>
      </c>
      <c r="AQ27">
        <f t="shared" si="13"/>
        <v>0</v>
      </c>
      <c r="AR27">
        <f t="shared" si="13"/>
        <v>0</v>
      </c>
      <c r="AS27">
        <f t="shared" si="14"/>
        <v>0</v>
      </c>
      <c r="AT27">
        <f t="shared" si="14"/>
        <v>0</v>
      </c>
      <c r="AU27">
        <f t="shared" si="14"/>
        <v>0</v>
      </c>
      <c r="AV27">
        <f t="shared" si="14"/>
        <v>0</v>
      </c>
      <c r="AW27">
        <f t="shared" si="14"/>
        <v>0</v>
      </c>
      <c r="AX27">
        <f t="shared" si="14"/>
        <v>0</v>
      </c>
      <c r="AY27">
        <f t="shared" si="14"/>
        <v>0</v>
      </c>
      <c r="AZ27">
        <f t="shared" si="14"/>
        <v>0</v>
      </c>
      <c r="BA27">
        <f t="shared" si="14"/>
        <v>0</v>
      </c>
      <c r="BB27">
        <f t="shared" si="14"/>
        <v>0</v>
      </c>
    </row>
    <row r="28" spans="2:54">
      <c r="B28">
        <f t="shared" si="9"/>
        <v>18</v>
      </c>
      <c r="C28">
        <f t="shared" si="8"/>
        <v>1.7435393459731812E-6</v>
      </c>
      <c r="D28">
        <f t="shared" si="2"/>
        <v>1.7435393426501618E-6</v>
      </c>
      <c r="E28">
        <f t="shared" si="10"/>
        <v>1.7435393459731873E-6</v>
      </c>
      <c r="F28">
        <f t="shared" si="10"/>
        <v>1.7435393459731873E-6</v>
      </c>
      <c r="G28">
        <f t="shared" si="10"/>
        <v>1.7435393459731873E-6</v>
      </c>
      <c r="H28">
        <f t="shared" si="10"/>
        <v>1.7435393459731873E-6</v>
      </c>
      <c r="I28">
        <f t="shared" si="10"/>
        <v>1.7435393459731873E-6</v>
      </c>
      <c r="J28">
        <f t="shared" si="10"/>
        <v>1.7435393459731873E-6</v>
      </c>
      <c r="K28">
        <f t="shared" si="10"/>
        <v>1.7435393459731873E-6</v>
      </c>
      <c r="L28">
        <f t="shared" si="10"/>
        <v>1.7435393459731873E-6</v>
      </c>
      <c r="M28">
        <f t="shared" si="10"/>
        <v>1.7435393459731873E-6</v>
      </c>
      <c r="N28">
        <f t="shared" si="10"/>
        <v>1.7435393459731873E-6</v>
      </c>
      <c r="O28">
        <f t="shared" si="11"/>
        <v>1.7435393459731873E-6</v>
      </c>
      <c r="P28">
        <f t="shared" si="11"/>
        <v>1.7435393459731873E-6</v>
      </c>
      <c r="Q28">
        <f t="shared" si="11"/>
        <v>1.7435393459731873E-6</v>
      </c>
      <c r="R28">
        <f t="shared" si="11"/>
        <v>1.7435393459731873E-6</v>
      </c>
      <c r="S28">
        <f t="shared" si="11"/>
        <v>1.7435393459731873E-6</v>
      </c>
      <c r="T28">
        <f t="shared" si="11"/>
        <v>1.7435393459731873E-6</v>
      </c>
      <c r="U28">
        <f t="shared" si="11"/>
        <v>1.7435393459731873E-6</v>
      </c>
      <c r="V28">
        <f t="shared" si="11"/>
        <v>1.7435393459731873E-6</v>
      </c>
      <c r="W28">
        <f t="shared" si="11"/>
        <v>1.7435393459731873E-6</v>
      </c>
      <c r="X28">
        <f t="shared" si="11"/>
        <v>1.7435393459731873E-6</v>
      </c>
      <c r="Y28">
        <f t="shared" si="12"/>
        <v>0</v>
      </c>
      <c r="Z28">
        <f t="shared" si="12"/>
        <v>0</v>
      </c>
      <c r="AA28">
        <f t="shared" si="12"/>
        <v>0</v>
      </c>
      <c r="AB28">
        <f t="shared" si="12"/>
        <v>0</v>
      </c>
      <c r="AC28">
        <f t="shared" si="12"/>
        <v>0</v>
      </c>
      <c r="AD28">
        <f t="shared" si="12"/>
        <v>0</v>
      </c>
      <c r="AE28">
        <f t="shared" si="12"/>
        <v>0</v>
      </c>
      <c r="AF28">
        <f t="shared" si="12"/>
        <v>0</v>
      </c>
      <c r="AG28">
        <f t="shared" si="12"/>
        <v>0</v>
      </c>
      <c r="AH28">
        <f t="shared" si="12"/>
        <v>0</v>
      </c>
      <c r="AI28">
        <f t="shared" si="13"/>
        <v>0</v>
      </c>
      <c r="AJ28">
        <f t="shared" si="13"/>
        <v>0</v>
      </c>
      <c r="AK28">
        <f t="shared" si="13"/>
        <v>0</v>
      </c>
      <c r="AL28">
        <f t="shared" si="13"/>
        <v>0</v>
      </c>
      <c r="AM28">
        <f t="shared" si="13"/>
        <v>0</v>
      </c>
      <c r="AN28">
        <f t="shared" si="13"/>
        <v>0</v>
      </c>
      <c r="AO28">
        <f t="shared" si="13"/>
        <v>0</v>
      </c>
      <c r="AP28">
        <f t="shared" si="13"/>
        <v>0</v>
      </c>
      <c r="AQ28">
        <f t="shared" si="13"/>
        <v>0</v>
      </c>
      <c r="AR28">
        <f t="shared" si="13"/>
        <v>0</v>
      </c>
      <c r="AS28">
        <f t="shared" si="14"/>
        <v>0</v>
      </c>
      <c r="AT28">
        <f t="shared" si="14"/>
        <v>0</v>
      </c>
      <c r="AU28">
        <f t="shared" si="14"/>
        <v>0</v>
      </c>
      <c r="AV28">
        <f t="shared" si="14"/>
        <v>0</v>
      </c>
      <c r="AW28">
        <f t="shared" si="14"/>
        <v>0</v>
      </c>
      <c r="AX28">
        <f t="shared" si="14"/>
        <v>0</v>
      </c>
      <c r="AY28">
        <f t="shared" si="14"/>
        <v>0</v>
      </c>
      <c r="AZ28">
        <f t="shared" si="14"/>
        <v>0</v>
      </c>
      <c r="BA28">
        <f t="shared" si="14"/>
        <v>0</v>
      </c>
      <c r="BB28">
        <f t="shared" si="14"/>
        <v>0</v>
      </c>
    </row>
    <row r="29" spans="2:54">
      <c r="B29">
        <f t="shared" si="9"/>
        <v>19</v>
      </c>
      <c r="C29">
        <f t="shared" si="8"/>
        <v>3.9603940822659488E-7</v>
      </c>
      <c r="D29">
        <f t="shared" si="2"/>
        <v>3.9603940747178016E-7</v>
      </c>
      <c r="E29">
        <f t="shared" si="10"/>
        <v>3.9603940822659488E-7</v>
      </c>
      <c r="F29">
        <f t="shared" si="10"/>
        <v>3.9603940822659488E-7</v>
      </c>
      <c r="G29">
        <f t="shared" si="10"/>
        <v>3.9603940822659488E-7</v>
      </c>
      <c r="H29">
        <f t="shared" si="10"/>
        <v>3.9603940822659488E-7</v>
      </c>
      <c r="I29">
        <f t="shared" si="10"/>
        <v>3.9603940822659488E-7</v>
      </c>
      <c r="J29">
        <f t="shared" si="10"/>
        <v>3.9603940822659488E-7</v>
      </c>
      <c r="K29">
        <f t="shared" si="10"/>
        <v>3.9603940822659488E-7</v>
      </c>
      <c r="L29">
        <f t="shared" si="10"/>
        <v>3.9603940822659488E-7</v>
      </c>
      <c r="M29">
        <f t="shared" si="10"/>
        <v>3.9603940822659488E-7</v>
      </c>
      <c r="N29">
        <f t="shared" si="10"/>
        <v>3.9603940822659488E-7</v>
      </c>
      <c r="O29">
        <f t="shared" si="11"/>
        <v>3.9603940822659488E-7</v>
      </c>
      <c r="P29">
        <f t="shared" si="11"/>
        <v>3.9603940822659488E-7</v>
      </c>
      <c r="Q29">
        <f t="shared" si="11"/>
        <v>3.9603940822659488E-7</v>
      </c>
      <c r="R29">
        <f t="shared" si="11"/>
        <v>3.9603940822659488E-7</v>
      </c>
      <c r="S29">
        <f t="shared" si="11"/>
        <v>3.9603940822659488E-7</v>
      </c>
      <c r="T29">
        <f t="shared" si="11"/>
        <v>3.9603940822659488E-7</v>
      </c>
      <c r="U29">
        <f t="shared" si="11"/>
        <v>3.9603940822659488E-7</v>
      </c>
      <c r="V29">
        <f t="shared" si="11"/>
        <v>3.9603940822659488E-7</v>
      </c>
      <c r="W29">
        <f t="shared" si="11"/>
        <v>3.9603940822659488E-7</v>
      </c>
      <c r="X29">
        <f t="shared" si="11"/>
        <v>3.9603940822659488E-7</v>
      </c>
      <c r="Y29">
        <f t="shared" si="12"/>
        <v>0</v>
      </c>
      <c r="Z29">
        <f t="shared" si="12"/>
        <v>0</v>
      </c>
      <c r="AA29">
        <f t="shared" si="12"/>
        <v>0</v>
      </c>
      <c r="AB29">
        <f t="shared" si="12"/>
        <v>0</v>
      </c>
      <c r="AC29">
        <f t="shared" si="12"/>
        <v>0</v>
      </c>
      <c r="AD29">
        <f t="shared" si="12"/>
        <v>0</v>
      </c>
      <c r="AE29">
        <f t="shared" si="12"/>
        <v>0</v>
      </c>
      <c r="AF29">
        <f t="shared" si="12"/>
        <v>0</v>
      </c>
      <c r="AG29">
        <f t="shared" si="12"/>
        <v>0</v>
      </c>
      <c r="AH29">
        <f t="shared" si="12"/>
        <v>0</v>
      </c>
      <c r="AI29">
        <f t="shared" si="13"/>
        <v>0</v>
      </c>
      <c r="AJ29">
        <f t="shared" si="13"/>
        <v>0</v>
      </c>
      <c r="AK29">
        <f t="shared" si="13"/>
        <v>0</v>
      </c>
      <c r="AL29">
        <f t="shared" si="13"/>
        <v>0</v>
      </c>
      <c r="AM29">
        <f t="shared" si="13"/>
        <v>0</v>
      </c>
      <c r="AN29">
        <f t="shared" si="13"/>
        <v>0</v>
      </c>
      <c r="AO29">
        <f t="shared" si="13"/>
        <v>0</v>
      </c>
      <c r="AP29">
        <f t="shared" si="13"/>
        <v>0</v>
      </c>
      <c r="AQ29">
        <f t="shared" si="13"/>
        <v>0</v>
      </c>
      <c r="AR29">
        <f t="shared" si="13"/>
        <v>0</v>
      </c>
      <c r="AS29">
        <f t="shared" si="14"/>
        <v>0</v>
      </c>
      <c r="AT29">
        <f t="shared" si="14"/>
        <v>0</v>
      </c>
      <c r="AU29">
        <f t="shared" si="14"/>
        <v>0</v>
      </c>
      <c r="AV29">
        <f t="shared" si="14"/>
        <v>0</v>
      </c>
      <c r="AW29">
        <f t="shared" si="14"/>
        <v>0</v>
      </c>
      <c r="AX29">
        <f t="shared" si="14"/>
        <v>0</v>
      </c>
      <c r="AY29">
        <f t="shared" si="14"/>
        <v>0</v>
      </c>
      <c r="AZ29">
        <f t="shared" si="14"/>
        <v>0</v>
      </c>
      <c r="BA29">
        <f t="shared" si="14"/>
        <v>0</v>
      </c>
      <c r="BB29">
        <f t="shared" si="14"/>
        <v>0</v>
      </c>
    </row>
    <row r="30" spans="2:54">
      <c r="B30">
        <f t="shared" si="9"/>
        <v>20</v>
      </c>
      <c r="C30">
        <f t="shared" si="8"/>
        <v>8.441892649040548E-8</v>
      </c>
      <c r="D30">
        <f t="shared" si="2"/>
        <v>8.4418926329511056E-8</v>
      </c>
      <c r="E30">
        <f t="shared" ref="E30:N39" si="15">_xlfn.BINOM.DIST($B30,Size,E$8,FALSE)</f>
        <v>8.4418926490405785E-8</v>
      </c>
      <c r="F30">
        <f t="shared" si="15"/>
        <v>8.4418926490405785E-8</v>
      </c>
      <c r="G30">
        <f t="shared" si="15"/>
        <v>8.4418926490405785E-8</v>
      </c>
      <c r="H30">
        <f t="shared" si="15"/>
        <v>8.4418926490405785E-8</v>
      </c>
      <c r="I30">
        <f t="shared" si="15"/>
        <v>8.4418926490405785E-8</v>
      </c>
      <c r="J30">
        <f t="shared" si="15"/>
        <v>8.4418926490405785E-8</v>
      </c>
      <c r="K30">
        <f t="shared" si="15"/>
        <v>8.4418926490405785E-8</v>
      </c>
      <c r="L30">
        <f t="shared" si="15"/>
        <v>8.4418926490405785E-8</v>
      </c>
      <c r="M30">
        <f t="shared" si="15"/>
        <v>8.4418926490405785E-8</v>
      </c>
      <c r="N30">
        <f t="shared" si="15"/>
        <v>8.4418926490405785E-8</v>
      </c>
      <c r="O30">
        <f t="shared" ref="O30:X39" si="16">_xlfn.BINOM.DIST($B30,Size,O$8,FALSE)</f>
        <v>8.4418926490405785E-8</v>
      </c>
      <c r="P30">
        <f t="shared" si="16"/>
        <v>8.4418926490405785E-8</v>
      </c>
      <c r="Q30">
        <f t="shared" si="16"/>
        <v>8.4418926490405785E-8</v>
      </c>
      <c r="R30">
        <f t="shared" si="16"/>
        <v>8.4418926490405785E-8</v>
      </c>
      <c r="S30">
        <f t="shared" si="16"/>
        <v>8.4418926490405785E-8</v>
      </c>
      <c r="T30">
        <f t="shared" si="16"/>
        <v>8.4418926490405785E-8</v>
      </c>
      <c r="U30">
        <f t="shared" si="16"/>
        <v>8.4418926490405785E-8</v>
      </c>
      <c r="V30">
        <f t="shared" si="16"/>
        <v>8.4418926490405785E-8</v>
      </c>
      <c r="W30">
        <f t="shared" si="16"/>
        <v>8.4418926490405785E-8</v>
      </c>
      <c r="X30">
        <f t="shared" si="16"/>
        <v>8.4418926490405785E-8</v>
      </c>
      <c r="Y30">
        <f t="shared" ref="Y30:AH39" si="17">_xlfn.BINOM.DIST($B30,Size,Y$8,FALSE)</f>
        <v>0</v>
      </c>
      <c r="Z30">
        <f t="shared" si="17"/>
        <v>0</v>
      </c>
      <c r="AA30">
        <f t="shared" si="17"/>
        <v>0</v>
      </c>
      <c r="AB30">
        <f t="shared" si="17"/>
        <v>0</v>
      </c>
      <c r="AC30">
        <f t="shared" si="17"/>
        <v>0</v>
      </c>
      <c r="AD30">
        <f t="shared" si="17"/>
        <v>0</v>
      </c>
      <c r="AE30">
        <f t="shared" si="17"/>
        <v>0</v>
      </c>
      <c r="AF30">
        <f t="shared" si="17"/>
        <v>0</v>
      </c>
      <c r="AG30">
        <f t="shared" si="17"/>
        <v>0</v>
      </c>
      <c r="AH30">
        <f t="shared" si="17"/>
        <v>0</v>
      </c>
      <c r="AI30">
        <f t="shared" ref="AI30:AR39" si="18">_xlfn.BINOM.DIST($B30,Size,AI$8,FALSE)</f>
        <v>0</v>
      </c>
      <c r="AJ30">
        <f t="shared" si="18"/>
        <v>0</v>
      </c>
      <c r="AK30">
        <f t="shared" si="18"/>
        <v>0</v>
      </c>
      <c r="AL30">
        <f t="shared" si="18"/>
        <v>0</v>
      </c>
      <c r="AM30">
        <f t="shared" si="18"/>
        <v>0</v>
      </c>
      <c r="AN30">
        <f t="shared" si="18"/>
        <v>0</v>
      </c>
      <c r="AO30">
        <f t="shared" si="18"/>
        <v>0</v>
      </c>
      <c r="AP30">
        <f t="shared" si="18"/>
        <v>0</v>
      </c>
      <c r="AQ30">
        <f t="shared" si="18"/>
        <v>0</v>
      </c>
      <c r="AR30">
        <f t="shared" si="18"/>
        <v>0</v>
      </c>
      <c r="AS30">
        <f t="shared" ref="AS30:BB39" si="19">_xlfn.BINOM.DIST($B30,Size,AS$8,FALSE)</f>
        <v>0</v>
      </c>
      <c r="AT30">
        <f t="shared" si="19"/>
        <v>0</v>
      </c>
      <c r="AU30">
        <f t="shared" si="19"/>
        <v>0</v>
      </c>
      <c r="AV30">
        <f t="shared" si="19"/>
        <v>0</v>
      </c>
      <c r="AW30">
        <f t="shared" si="19"/>
        <v>0</v>
      </c>
      <c r="AX30">
        <f t="shared" si="19"/>
        <v>0</v>
      </c>
      <c r="AY30">
        <f t="shared" si="19"/>
        <v>0</v>
      </c>
      <c r="AZ30">
        <f t="shared" si="19"/>
        <v>0</v>
      </c>
      <c r="BA30">
        <f t="shared" si="19"/>
        <v>0</v>
      </c>
      <c r="BB30">
        <f t="shared" si="19"/>
        <v>0</v>
      </c>
    </row>
    <row r="31" spans="2:54">
      <c r="B31">
        <f t="shared" si="9"/>
        <v>21</v>
      </c>
      <c r="C31">
        <f t="shared" si="8"/>
        <v>1.6926100549454713E-8</v>
      </c>
      <c r="D31">
        <f t="shared" si="2"/>
        <v>1.6926100517195241E-8</v>
      </c>
      <c r="E31">
        <f t="shared" si="15"/>
        <v>1.6926100549454835E-8</v>
      </c>
      <c r="F31">
        <f t="shared" si="15"/>
        <v>1.6926100549454835E-8</v>
      </c>
      <c r="G31">
        <f t="shared" si="15"/>
        <v>1.6926100549454835E-8</v>
      </c>
      <c r="H31">
        <f t="shared" si="15"/>
        <v>1.6926100549454835E-8</v>
      </c>
      <c r="I31">
        <f t="shared" si="15"/>
        <v>1.6926100549454835E-8</v>
      </c>
      <c r="J31">
        <f t="shared" si="15"/>
        <v>1.6926100549454835E-8</v>
      </c>
      <c r="K31">
        <f t="shared" si="15"/>
        <v>1.6926100549454835E-8</v>
      </c>
      <c r="L31">
        <f t="shared" si="15"/>
        <v>1.6926100549454835E-8</v>
      </c>
      <c r="M31">
        <f t="shared" si="15"/>
        <v>1.6926100549454835E-8</v>
      </c>
      <c r="N31">
        <f t="shared" si="15"/>
        <v>1.6926100549454835E-8</v>
      </c>
      <c r="O31">
        <f t="shared" si="16"/>
        <v>1.6926100549454835E-8</v>
      </c>
      <c r="P31">
        <f t="shared" si="16"/>
        <v>1.6926100549454835E-8</v>
      </c>
      <c r="Q31">
        <f t="shared" si="16"/>
        <v>1.6926100549454835E-8</v>
      </c>
      <c r="R31">
        <f t="shared" si="16"/>
        <v>1.6926100549454835E-8</v>
      </c>
      <c r="S31">
        <f t="shared" si="16"/>
        <v>1.6926100549454835E-8</v>
      </c>
      <c r="T31">
        <f t="shared" si="16"/>
        <v>1.6926100549454835E-8</v>
      </c>
      <c r="U31">
        <f t="shared" si="16"/>
        <v>1.6926100549454835E-8</v>
      </c>
      <c r="V31">
        <f t="shared" si="16"/>
        <v>1.6926100549454835E-8</v>
      </c>
      <c r="W31">
        <f t="shared" si="16"/>
        <v>1.6926100549454835E-8</v>
      </c>
      <c r="X31">
        <f t="shared" si="16"/>
        <v>1.6926100549454835E-8</v>
      </c>
      <c r="Y31">
        <f t="shared" si="17"/>
        <v>0</v>
      </c>
      <c r="Z31">
        <f t="shared" si="17"/>
        <v>0</v>
      </c>
      <c r="AA31">
        <f t="shared" si="17"/>
        <v>0</v>
      </c>
      <c r="AB31">
        <f t="shared" si="17"/>
        <v>0</v>
      </c>
      <c r="AC31">
        <f t="shared" si="17"/>
        <v>0</v>
      </c>
      <c r="AD31">
        <f t="shared" si="17"/>
        <v>0</v>
      </c>
      <c r="AE31">
        <f t="shared" si="17"/>
        <v>0</v>
      </c>
      <c r="AF31">
        <f t="shared" si="17"/>
        <v>0</v>
      </c>
      <c r="AG31">
        <f t="shared" si="17"/>
        <v>0</v>
      </c>
      <c r="AH31">
        <f t="shared" si="17"/>
        <v>0</v>
      </c>
      <c r="AI31">
        <f t="shared" si="18"/>
        <v>0</v>
      </c>
      <c r="AJ31">
        <f t="shared" si="18"/>
        <v>0</v>
      </c>
      <c r="AK31">
        <f t="shared" si="18"/>
        <v>0</v>
      </c>
      <c r="AL31">
        <f t="shared" si="18"/>
        <v>0</v>
      </c>
      <c r="AM31">
        <f t="shared" si="18"/>
        <v>0</v>
      </c>
      <c r="AN31">
        <f t="shared" si="18"/>
        <v>0</v>
      </c>
      <c r="AO31">
        <f t="shared" si="18"/>
        <v>0</v>
      </c>
      <c r="AP31">
        <f t="shared" si="18"/>
        <v>0</v>
      </c>
      <c r="AQ31">
        <f t="shared" si="18"/>
        <v>0</v>
      </c>
      <c r="AR31">
        <f t="shared" si="18"/>
        <v>0</v>
      </c>
      <c r="AS31">
        <f t="shared" si="19"/>
        <v>0</v>
      </c>
      <c r="AT31">
        <f t="shared" si="19"/>
        <v>0</v>
      </c>
      <c r="AU31">
        <f t="shared" si="19"/>
        <v>0</v>
      </c>
      <c r="AV31">
        <f t="shared" si="19"/>
        <v>0</v>
      </c>
      <c r="AW31">
        <f t="shared" si="19"/>
        <v>0</v>
      </c>
      <c r="AX31">
        <f t="shared" si="19"/>
        <v>0</v>
      </c>
      <c r="AY31">
        <f t="shared" si="19"/>
        <v>0</v>
      </c>
      <c r="AZ31">
        <f t="shared" si="19"/>
        <v>0</v>
      </c>
      <c r="BA31">
        <f t="shared" si="19"/>
        <v>0</v>
      </c>
      <c r="BB31">
        <f t="shared" si="19"/>
        <v>0</v>
      </c>
    </row>
    <row r="32" spans="2:54">
      <c r="B32">
        <f t="shared" si="9"/>
        <v>22</v>
      </c>
      <c r="C32">
        <f t="shared" si="8"/>
        <v>3.1989520177199113E-9</v>
      </c>
      <c r="D32">
        <f t="shared" si="2"/>
        <v>3.1989520116230033E-9</v>
      </c>
      <c r="E32">
        <f t="shared" si="15"/>
        <v>3.1989520177199113E-9</v>
      </c>
      <c r="F32">
        <f t="shared" si="15"/>
        <v>3.1989520177199113E-9</v>
      </c>
      <c r="G32">
        <f t="shared" si="15"/>
        <v>3.1989520177199113E-9</v>
      </c>
      <c r="H32">
        <f t="shared" si="15"/>
        <v>3.1989520177199113E-9</v>
      </c>
      <c r="I32">
        <f t="shared" si="15"/>
        <v>3.1989520177199113E-9</v>
      </c>
      <c r="J32">
        <f t="shared" si="15"/>
        <v>3.1989520177199113E-9</v>
      </c>
      <c r="K32">
        <f t="shared" si="15"/>
        <v>3.1989520177199113E-9</v>
      </c>
      <c r="L32">
        <f t="shared" si="15"/>
        <v>3.1989520177199113E-9</v>
      </c>
      <c r="M32">
        <f t="shared" si="15"/>
        <v>3.1989520177199113E-9</v>
      </c>
      <c r="N32">
        <f t="shared" si="15"/>
        <v>3.1989520177199113E-9</v>
      </c>
      <c r="O32">
        <f t="shared" si="16"/>
        <v>3.1989520177199113E-9</v>
      </c>
      <c r="P32">
        <f t="shared" si="16"/>
        <v>3.1989520177199113E-9</v>
      </c>
      <c r="Q32">
        <f t="shared" si="16"/>
        <v>3.1989520177199113E-9</v>
      </c>
      <c r="R32">
        <f t="shared" si="16"/>
        <v>3.1989520177199113E-9</v>
      </c>
      <c r="S32">
        <f t="shared" si="16"/>
        <v>3.1989520177199113E-9</v>
      </c>
      <c r="T32">
        <f t="shared" si="16"/>
        <v>3.1989520177199113E-9</v>
      </c>
      <c r="U32">
        <f t="shared" si="16"/>
        <v>3.1989520177199113E-9</v>
      </c>
      <c r="V32">
        <f t="shared" si="16"/>
        <v>3.1989520177199113E-9</v>
      </c>
      <c r="W32">
        <f t="shared" si="16"/>
        <v>3.1989520177199113E-9</v>
      </c>
      <c r="X32">
        <f t="shared" si="16"/>
        <v>3.1989520177199113E-9</v>
      </c>
      <c r="Y32">
        <f t="shared" si="17"/>
        <v>0</v>
      </c>
      <c r="Z32">
        <f t="shared" si="17"/>
        <v>0</v>
      </c>
      <c r="AA32">
        <f t="shared" si="17"/>
        <v>0</v>
      </c>
      <c r="AB32">
        <f t="shared" si="17"/>
        <v>0</v>
      </c>
      <c r="AC32">
        <f t="shared" si="17"/>
        <v>0</v>
      </c>
      <c r="AD32">
        <f t="shared" si="17"/>
        <v>0</v>
      </c>
      <c r="AE32">
        <f t="shared" si="17"/>
        <v>0</v>
      </c>
      <c r="AF32">
        <f t="shared" si="17"/>
        <v>0</v>
      </c>
      <c r="AG32">
        <f t="shared" si="17"/>
        <v>0</v>
      </c>
      <c r="AH32">
        <f t="shared" si="17"/>
        <v>0</v>
      </c>
      <c r="AI32">
        <f t="shared" si="18"/>
        <v>0</v>
      </c>
      <c r="AJ32">
        <f t="shared" si="18"/>
        <v>0</v>
      </c>
      <c r="AK32">
        <f t="shared" si="18"/>
        <v>0</v>
      </c>
      <c r="AL32">
        <f t="shared" si="18"/>
        <v>0</v>
      </c>
      <c r="AM32">
        <f t="shared" si="18"/>
        <v>0</v>
      </c>
      <c r="AN32">
        <f t="shared" si="18"/>
        <v>0</v>
      </c>
      <c r="AO32">
        <f t="shared" si="18"/>
        <v>0</v>
      </c>
      <c r="AP32">
        <f t="shared" si="18"/>
        <v>0</v>
      </c>
      <c r="AQ32">
        <f t="shared" si="18"/>
        <v>0</v>
      </c>
      <c r="AR32">
        <f t="shared" si="18"/>
        <v>0</v>
      </c>
      <c r="AS32">
        <f t="shared" si="19"/>
        <v>0</v>
      </c>
      <c r="AT32">
        <f t="shared" si="19"/>
        <v>0</v>
      </c>
      <c r="AU32">
        <f t="shared" si="19"/>
        <v>0</v>
      </c>
      <c r="AV32">
        <f t="shared" si="19"/>
        <v>0</v>
      </c>
      <c r="AW32">
        <f t="shared" si="19"/>
        <v>0</v>
      </c>
      <c r="AX32">
        <f t="shared" si="19"/>
        <v>0</v>
      </c>
      <c r="AY32">
        <f t="shared" si="19"/>
        <v>0</v>
      </c>
      <c r="AZ32">
        <f t="shared" si="19"/>
        <v>0</v>
      </c>
      <c r="BA32">
        <f t="shared" si="19"/>
        <v>0</v>
      </c>
      <c r="BB32">
        <f t="shared" si="19"/>
        <v>0</v>
      </c>
    </row>
    <row r="33" spans="2:54">
      <c r="B33">
        <f t="shared" si="9"/>
        <v>23</v>
      </c>
      <c r="C33">
        <f t="shared" si="8"/>
        <v>5.7097999400950447E-10</v>
      </c>
      <c r="D33">
        <f t="shared" si="2"/>
        <v>5.709799929212731E-10</v>
      </c>
      <c r="E33">
        <f t="shared" si="15"/>
        <v>5.709799940095085E-10</v>
      </c>
      <c r="F33">
        <f t="shared" si="15"/>
        <v>5.709799940095085E-10</v>
      </c>
      <c r="G33">
        <f t="shared" si="15"/>
        <v>5.709799940095085E-10</v>
      </c>
      <c r="H33">
        <f t="shared" si="15"/>
        <v>5.709799940095085E-10</v>
      </c>
      <c r="I33">
        <f t="shared" si="15"/>
        <v>5.709799940095085E-10</v>
      </c>
      <c r="J33">
        <f t="shared" si="15"/>
        <v>5.709799940095085E-10</v>
      </c>
      <c r="K33">
        <f t="shared" si="15"/>
        <v>5.709799940095085E-10</v>
      </c>
      <c r="L33">
        <f t="shared" si="15"/>
        <v>5.709799940095085E-10</v>
      </c>
      <c r="M33">
        <f t="shared" si="15"/>
        <v>5.709799940095085E-10</v>
      </c>
      <c r="N33">
        <f t="shared" si="15"/>
        <v>5.709799940095085E-10</v>
      </c>
      <c r="O33">
        <f t="shared" si="16"/>
        <v>5.709799940095085E-10</v>
      </c>
      <c r="P33">
        <f t="shared" si="16"/>
        <v>5.709799940095085E-10</v>
      </c>
      <c r="Q33">
        <f t="shared" si="16"/>
        <v>5.709799940095085E-10</v>
      </c>
      <c r="R33">
        <f t="shared" si="16"/>
        <v>5.709799940095085E-10</v>
      </c>
      <c r="S33">
        <f t="shared" si="16"/>
        <v>5.709799940095085E-10</v>
      </c>
      <c r="T33">
        <f t="shared" si="16"/>
        <v>5.709799940095085E-10</v>
      </c>
      <c r="U33">
        <f t="shared" si="16"/>
        <v>5.709799940095085E-10</v>
      </c>
      <c r="V33">
        <f t="shared" si="16"/>
        <v>5.709799940095085E-10</v>
      </c>
      <c r="W33">
        <f t="shared" si="16"/>
        <v>5.709799940095085E-10</v>
      </c>
      <c r="X33">
        <f t="shared" si="16"/>
        <v>5.709799940095085E-10</v>
      </c>
      <c r="Y33">
        <f t="shared" si="17"/>
        <v>0</v>
      </c>
      <c r="Z33">
        <f t="shared" si="17"/>
        <v>0</v>
      </c>
      <c r="AA33">
        <f t="shared" si="17"/>
        <v>0</v>
      </c>
      <c r="AB33">
        <f t="shared" si="17"/>
        <v>0</v>
      </c>
      <c r="AC33">
        <f t="shared" si="17"/>
        <v>0</v>
      </c>
      <c r="AD33">
        <f t="shared" si="17"/>
        <v>0</v>
      </c>
      <c r="AE33">
        <f t="shared" si="17"/>
        <v>0</v>
      </c>
      <c r="AF33">
        <f t="shared" si="17"/>
        <v>0</v>
      </c>
      <c r="AG33">
        <f t="shared" si="17"/>
        <v>0</v>
      </c>
      <c r="AH33">
        <f t="shared" si="17"/>
        <v>0</v>
      </c>
      <c r="AI33">
        <f t="shared" si="18"/>
        <v>0</v>
      </c>
      <c r="AJ33">
        <f t="shared" si="18"/>
        <v>0</v>
      </c>
      <c r="AK33">
        <f t="shared" si="18"/>
        <v>0</v>
      </c>
      <c r="AL33">
        <f t="shared" si="18"/>
        <v>0</v>
      </c>
      <c r="AM33">
        <f t="shared" si="18"/>
        <v>0</v>
      </c>
      <c r="AN33">
        <f t="shared" si="18"/>
        <v>0</v>
      </c>
      <c r="AO33">
        <f t="shared" si="18"/>
        <v>0</v>
      </c>
      <c r="AP33">
        <f t="shared" si="18"/>
        <v>0</v>
      </c>
      <c r="AQ33">
        <f t="shared" si="18"/>
        <v>0</v>
      </c>
      <c r="AR33">
        <f t="shared" si="18"/>
        <v>0</v>
      </c>
      <c r="AS33">
        <f t="shared" si="19"/>
        <v>0</v>
      </c>
      <c r="AT33">
        <f t="shared" si="19"/>
        <v>0</v>
      </c>
      <c r="AU33">
        <f t="shared" si="19"/>
        <v>0</v>
      </c>
      <c r="AV33">
        <f t="shared" si="19"/>
        <v>0</v>
      </c>
      <c r="AW33">
        <f t="shared" si="19"/>
        <v>0</v>
      </c>
      <c r="AX33">
        <f t="shared" si="19"/>
        <v>0</v>
      </c>
      <c r="AY33">
        <f t="shared" si="19"/>
        <v>0</v>
      </c>
      <c r="AZ33">
        <f t="shared" si="19"/>
        <v>0</v>
      </c>
      <c r="BA33">
        <f t="shared" si="19"/>
        <v>0</v>
      </c>
      <c r="BB33">
        <f t="shared" si="19"/>
        <v>0</v>
      </c>
    </row>
    <row r="34" spans="2:54">
      <c r="B34">
        <f t="shared" si="9"/>
        <v>24</v>
      </c>
      <c r="C34">
        <f t="shared" si="8"/>
        <v>9.641548144458785E-11</v>
      </c>
      <c r="D34">
        <f t="shared" si="2"/>
        <v>9.6415481260828811E-11</v>
      </c>
      <c r="E34">
        <f t="shared" si="15"/>
        <v>9.641548144458785E-11</v>
      </c>
      <c r="F34">
        <f t="shared" si="15"/>
        <v>9.641548144458785E-11</v>
      </c>
      <c r="G34">
        <f t="shared" si="15"/>
        <v>9.641548144458785E-11</v>
      </c>
      <c r="H34">
        <f t="shared" si="15"/>
        <v>9.641548144458785E-11</v>
      </c>
      <c r="I34">
        <f t="shared" si="15"/>
        <v>9.641548144458785E-11</v>
      </c>
      <c r="J34">
        <f t="shared" si="15"/>
        <v>9.641548144458785E-11</v>
      </c>
      <c r="K34">
        <f t="shared" si="15"/>
        <v>9.641548144458785E-11</v>
      </c>
      <c r="L34">
        <f t="shared" si="15"/>
        <v>9.641548144458785E-11</v>
      </c>
      <c r="M34">
        <f t="shared" si="15"/>
        <v>9.641548144458785E-11</v>
      </c>
      <c r="N34">
        <f t="shared" si="15"/>
        <v>9.641548144458785E-11</v>
      </c>
      <c r="O34">
        <f t="shared" si="16"/>
        <v>9.641548144458785E-11</v>
      </c>
      <c r="P34">
        <f t="shared" si="16"/>
        <v>9.641548144458785E-11</v>
      </c>
      <c r="Q34">
        <f t="shared" si="16"/>
        <v>9.641548144458785E-11</v>
      </c>
      <c r="R34">
        <f t="shared" si="16"/>
        <v>9.641548144458785E-11</v>
      </c>
      <c r="S34">
        <f t="shared" si="16"/>
        <v>9.641548144458785E-11</v>
      </c>
      <c r="T34">
        <f t="shared" si="16"/>
        <v>9.641548144458785E-11</v>
      </c>
      <c r="U34">
        <f t="shared" si="16"/>
        <v>9.641548144458785E-11</v>
      </c>
      <c r="V34">
        <f t="shared" si="16"/>
        <v>9.641548144458785E-11</v>
      </c>
      <c r="W34">
        <f t="shared" si="16"/>
        <v>9.641548144458785E-11</v>
      </c>
      <c r="X34">
        <f t="shared" si="16"/>
        <v>9.641548144458785E-11</v>
      </c>
      <c r="Y34">
        <f t="shared" si="17"/>
        <v>0</v>
      </c>
      <c r="Z34">
        <f t="shared" si="17"/>
        <v>0</v>
      </c>
      <c r="AA34">
        <f t="shared" si="17"/>
        <v>0</v>
      </c>
      <c r="AB34">
        <f t="shared" si="17"/>
        <v>0</v>
      </c>
      <c r="AC34">
        <f t="shared" si="17"/>
        <v>0</v>
      </c>
      <c r="AD34">
        <f t="shared" si="17"/>
        <v>0</v>
      </c>
      <c r="AE34">
        <f t="shared" si="17"/>
        <v>0</v>
      </c>
      <c r="AF34">
        <f t="shared" si="17"/>
        <v>0</v>
      </c>
      <c r="AG34">
        <f t="shared" si="17"/>
        <v>0</v>
      </c>
      <c r="AH34">
        <f t="shared" si="17"/>
        <v>0</v>
      </c>
      <c r="AI34">
        <f t="shared" si="18"/>
        <v>0</v>
      </c>
      <c r="AJ34">
        <f t="shared" si="18"/>
        <v>0</v>
      </c>
      <c r="AK34">
        <f t="shared" si="18"/>
        <v>0</v>
      </c>
      <c r="AL34">
        <f t="shared" si="18"/>
        <v>0</v>
      </c>
      <c r="AM34">
        <f t="shared" si="18"/>
        <v>0</v>
      </c>
      <c r="AN34">
        <f t="shared" si="18"/>
        <v>0</v>
      </c>
      <c r="AO34">
        <f t="shared" si="18"/>
        <v>0</v>
      </c>
      <c r="AP34">
        <f t="shared" si="18"/>
        <v>0</v>
      </c>
      <c r="AQ34">
        <f t="shared" si="18"/>
        <v>0</v>
      </c>
      <c r="AR34">
        <f t="shared" si="18"/>
        <v>0</v>
      </c>
      <c r="AS34">
        <f t="shared" si="19"/>
        <v>0</v>
      </c>
      <c r="AT34">
        <f t="shared" si="19"/>
        <v>0</v>
      </c>
      <c r="AU34">
        <f t="shared" si="19"/>
        <v>0</v>
      </c>
      <c r="AV34">
        <f t="shared" si="19"/>
        <v>0</v>
      </c>
      <c r="AW34">
        <f t="shared" si="19"/>
        <v>0</v>
      </c>
      <c r="AX34">
        <f t="shared" si="19"/>
        <v>0</v>
      </c>
      <c r="AY34">
        <f t="shared" si="19"/>
        <v>0</v>
      </c>
      <c r="AZ34">
        <f t="shared" si="19"/>
        <v>0</v>
      </c>
      <c r="BA34">
        <f t="shared" si="19"/>
        <v>0</v>
      </c>
      <c r="BB34">
        <f t="shared" si="19"/>
        <v>0</v>
      </c>
    </row>
    <row r="35" spans="2:54">
      <c r="B35">
        <f t="shared" si="9"/>
        <v>25</v>
      </c>
      <c r="C35">
        <f t="shared" si="8"/>
        <v>1.5426477031134035E-11</v>
      </c>
      <c r="D35">
        <f t="shared" si="2"/>
        <v>1.5426477001732589E-11</v>
      </c>
      <c r="E35">
        <f t="shared" si="15"/>
        <v>1.5426477031134035E-11</v>
      </c>
      <c r="F35">
        <f t="shared" si="15"/>
        <v>1.5426477031134035E-11</v>
      </c>
      <c r="G35">
        <f t="shared" si="15"/>
        <v>1.5426477031134035E-11</v>
      </c>
      <c r="H35">
        <f t="shared" si="15"/>
        <v>1.5426477031134035E-11</v>
      </c>
      <c r="I35">
        <f t="shared" si="15"/>
        <v>1.5426477031134035E-11</v>
      </c>
      <c r="J35">
        <f t="shared" si="15"/>
        <v>1.5426477031134035E-11</v>
      </c>
      <c r="K35">
        <f t="shared" si="15"/>
        <v>1.5426477031134035E-11</v>
      </c>
      <c r="L35">
        <f t="shared" si="15"/>
        <v>1.5426477031134035E-11</v>
      </c>
      <c r="M35">
        <f t="shared" si="15"/>
        <v>1.5426477031134035E-11</v>
      </c>
      <c r="N35">
        <f t="shared" si="15"/>
        <v>1.5426477031134035E-11</v>
      </c>
      <c r="O35">
        <f t="shared" si="16"/>
        <v>1.5426477031134035E-11</v>
      </c>
      <c r="P35">
        <f t="shared" si="16"/>
        <v>1.5426477031134035E-11</v>
      </c>
      <c r="Q35">
        <f t="shared" si="16"/>
        <v>1.5426477031134035E-11</v>
      </c>
      <c r="R35">
        <f t="shared" si="16"/>
        <v>1.5426477031134035E-11</v>
      </c>
      <c r="S35">
        <f t="shared" si="16"/>
        <v>1.5426477031134035E-11</v>
      </c>
      <c r="T35">
        <f t="shared" si="16"/>
        <v>1.5426477031134035E-11</v>
      </c>
      <c r="U35">
        <f t="shared" si="16"/>
        <v>1.5426477031134035E-11</v>
      </c>
      <c r="V35">
        <f t="shared" si="16"/>
        <v>1.5426477031134035E-11</v>
      </c>
      <c r="W35">
        <f t="shared" si="16"/>
        <v>1.5426477031134035E-11</v>
      </c>
      <c r="X35">
        <f t="shared" si="16"/>
        <v>1.5426477031134035E-11</v>
      </c>
      <c r="Y35">
        <f t="shared" si="17"/>
        <v>0</v>
      </c>
      <c r="Z35">
        <f t="shared" si="17"/>
        <v>0</v>
      </c>
      <c r="AA35">
        <f t="shared" si="17"/>
        <v>0</v>
      </c>
      <c r="AB35">
        <f t="shared" si="17"/>
        <v>0</v>
      </c>
      <c r="AC35">
        <f t="shared" si="17"/>
        <v>0</v>
      </c>
      <c r="AD35">
        <f t="shared" si="17"/>
        <v>0</v>
      </c>
      <c r="AE35">
        <f t="shared" si="17"/>
        <v>0</v>
      </c>
      <c r="AF35">
        <f t="shared" si="17"/>
        <v>0</v>
      </c>
      <c r="AG35">
        <f t="shared" si="17"/>
        <v>0</v>
      </c>
      <c r="AH35">
        <f t="shared" si="17"/>
        <v>0</v>
      </c>
      <c r="AI35">
        <f t="shared" si="18"/>
        <v>0</v>
      </c>
      <c r="AJ35">
        <f t="shared" si="18"/>
        <v>0</v>
      </c>
      <c r="AK35">
        <f t="shared" si="18"/>
        <v>0</v>
      </c>
      <c r="AL35">
        <f t="shared" si="18"/>
        <v>0</v>
      </c>
      <c r="AM35">
        <f t="shared" si="18"/>
        <v>0</v>
      </c>
      <c r="AN35">
        <f t="shared" si="18"/>
        <v>0</v>
      </c>
      <c r="AO35">
        <f t="shared" si="18"/>
        <v>0</v>
      </c>
      <c r="AP35">
        <f t="shared" si="18"/>
        <v>0</v>
      </c>
      <c r="AQ35">
        <f t="shared" si="18"/>
        <v>0</v>
      </c>
      <c r="AR35">
        <f t="shared" si="18"/>
        <v>0</v>
      </c>
      <c r="AS35">
        <f t="shared" si="19"/>
        <v>0</v>
      </c>
      <c r="AT35">
        <f t="shared" si="19"/>
        <v>0</v>
      </c>
      <c r="AU35">
        <f t="shared" si="19"/>
        <v>0</v>
      </c>
      <c r="AV35">
        <f t="shared" si="19"/>
        <v>0</v>
      </c>
      <c r="AW35">
        <f t="shared" si="19"/>
        <v>0</v>
      </c>
      <c r="AX35">
        <f t="shared" si="19"/>
        <v>0</v>
      </c>
      <c r="AY35">
        <f t="shared" si="19"/>
        <v>0</v>
      </c>
      <c r="AZ35">
        <f t="shared" si="19"/>
        <v>0</v>
      </c>
      <c r="BA35">
        <f t="shared" si="19"/>
        <v>0</v>
      </c>
      <c r="BB35">
        <f t="shared" si="19"/>
        <v>0</v>
      </c>
    </row>
    <row r="36" spans="2:54">
      <c r="B36">
        <f t="shared" si="9"/>
        <v>26</v>
      </c>
      <c r="C36">
        <f t="shared" si="8"/>
        <v>2.342076472338149E-12</v>
      </c>
      <c r="D36">
        <f t="shared" si="2"/>
        <v>2.3420764678743665E-12</v>
      </c>
      <c r="E36">
        <f t="shared" si="15"/>
        <v>2.342076472338149E-12</v>
      </c>
      <c r="F36">
        <f t="shared" si="15"/>
        <v>2.342076472338149E-12</v>
      </c>
      <c r="G36">
        <f t="shared" si="15"/>
        <v>2.342076472338149E-12</v>
      </c>
      <c r="H36">
        <f t="shared" si="15"/>
        <v>2.342076472338149E-12</v>
      </c>
      <c r="I36">
        <f t="shared" si="15"/>
        <v>2.342076472338149E-12</v>
      </c>
      <c r="J36">
        <f t="shared" si="15"/>
        <v>2.342076472338149E-12</v>
      </c>
      <c r="K36">
        <f t="shared" si="15"/>
        <v>2.342076472338149E-12</v>
      </c>
      <c r="L36">
        <f t="shared" si="15"/>
        <v>2.342076472338149E-12</v>
      </c>
      <c r="M36">
        <f t="shared" si="15"/>
        <v>2.342076472338149E-12</v>
      </c>
      <c r="N36">
        <f t="shared" si="15"/>
        <v>2.342076472338149E-12</v>
      </c>
      <c r="O36">
        <f t="shared" si="16"/>
        <v>2.342076472338149E-12</v>
      </c>
      <c r="P36">
        <f t="shared" si="16"/>
        <v>2.342076472338149E-12</v>
      </c>
      <c r="Q36">
        <f t="shared" si="16"/>
        <v>2.342076472338149E-12</v>
      </c>
      <c r="R36">
        <f t="shared" si="16"/>
        <v>2.342076472338149E-12</v>
      </c>
      <c r="S36">
        <f t="shared" si="16"/>
        <v>2.342076472338149E-12</v>
      </c>
      <c r="T36">
        <f t="shared" si="16"/>
        <v>2.342076472338149E-12</v>
      </c>
      <c r="U36">
        <f t="shared" si="16"/>
        <v>2.342076472338149E-12</v>
      </c>
      <c r="V36">
        <f t="shared" si="16"/>
        <v>2.342076472338149E-12</v>
      </c>
      <c r="W36">
        <f t="shared" si="16"/>
        <v>2.342076472338149E-12</v>
      </c>
      <c r="X36">
        <f t="shared" si="16"/>
        <v>2.342076472338149E-12</v>
      </c>
      <c r="Y36">
        <f t="shared" si="17"/>
        <v>0</v>
      </c>
      <c r="Z36">
        <f t="shared" si="17"/>
        <v>0</v>
      </c>
      <c r="AA36">
        <f t="shared" si="17"/>
        <v>0</v>
      </c>
      <c r="AB36">
        <f t="shared" si="17"/>
        <v>0</v>
      </c>
      <c r="AC36">
        <f t="shared" si="17"/>
        <v>0</v>
      </c>
      <c r="AD36">
        <f t="shared" si="17"/>
        <v>0</v>
      </c>
      <c r="AE36">
        <f t="shared" si="17"/>
        <v>0</v>
      </c>
      <c r="AF36">
        <f t="shared" si="17"/>
        <v>0</v>
      </c>
      <c r="AG36">
        <f t="shared" si="17"/>
        <v>0</v>
      </c>
      <c r="AH36">
        <f t="shared" si="17"/>
        <v>0</v>
      </c>
      <c r="AI36">
        <f t="shared" si="18"/>
        <v>0</v>
      </c>
      <c r="AJ36">
        <f t="shared" si="18"/>
        <v>0</v>
      </c>
      <c r="AK36">
        <f t="shared" si="18"/>
        <v>0</v>
      </c>
      <c r="AL36">
        <f t="shared" si="18"/>
        <v>0</v>
      </c>
      <c r="AM36">
        <f t="shared" si="18"/>
        <v>0</v>
      </c>
      <c r="AN36">
        <f t="shared" si="18"/>
        <v>0</v>
      </c>
      <c r="AO36">
        <f t="shared" si="18"/>
        <v>0</v>
      </c>
      <c r="AP36">
        <f t="shared" si="18"/>
        <v>0</v>
      </c>
      <c r="AQ36">
        <f t="shared" si="18"/>
        <v>0</v>
      </c>
      <c r="AR36">
        <f t="shared" si="18"/>
        <v>0</v>
      </c>
      <c r="AS36">
        <f t="shared" si="19"/>
        <v>0</v>
      </c>
      <c r="AT36">
        <f t="shared" si="19"/>
        <v>0</v>
      </c>
      <c r="AU36">
        <f t="shared" si="19"/>
        <v>0</v>
      </c>
      <c r="AV36">
        <f t="shared" si="19"/>
        <v>0</v>
      </c>
      <c r="AW36">
        <f t="shared" si="19"/>
        <v>0</v>
      </c>
      <c r="AX36">
        <f t="shared" si="19"/>
        <v>0</v>
      </c>
      <c r="AY36">
        <f t="shared" si="19"/>
        <v>0</v>
      </c>
      <c r="AZ36">
        <f t="shared" si="19"/>
        <v>0</v>
      </c>
      <c r="BA36">
        <f t="shared" si="19"/>
        <v>0</v>
      </c>
      <c r="BB36">
        <f t="shared" si="19"/>
        <v>0</v>
      </c>
    </row>
    <row r="37" spans="2:54">
      <c r="B37">
        <f t="shared" si="9"/>
        <v>27</v>
      </c>
      <c r="C37">
        <f t="shared" si="8"/>
        <v>3.3784338977197493E-13</v>
      </c>
      <c r="D37">
        <f t="shared" si="2"/>
        <v>3.3784338912807889E-13</v>
      </c>
      <c r="E37">
        <f t="shared" si="15"/>
        <v>3.378433897719773E-13</v>
      </c>
      <c r="F37">
        <f t="shared" si="15"/>
        <v>3.378433897719773E-13</v>
      </c>
      <c r="G37">
        <f t="shared" si="15"/>
        <v>3.378433897719773E-13</v>
      </c>
      <c r="H37">
        <f t="shared" si="15"/>
        <v>3.378433897719773E-13</v>
      </c>
      <c r="I37">
        <f t="shared" si="15"/>
        <v>3.378433897719773E-13</v>
      </c>
      <c r="J37">
        <f t="shared" si="15"/>
        <v>3.378433897719773E-13</v>
      </c>
      <c r="K37">
        <f t="shared" si="15"/>
        <v>3.378433897719773E-13</v>
      </c>
      <c r="L37">
        <f t="shared" si="15"/>
        <v>3.378433897719773E-13</v>
      </c>
      <c r="M37">
        <f t="shared" si="15"/>
        <v>3.378433897719773E-13</v>
      </c>
      <c r="N37">
        <f t="shared" si="15"/>
        <v>3.378433897719773E-13</v>
      </c>
      <c r="O37">
        <f t="shared" si="16"/>
        <v>3.378433897719773E-13</v>
      </c>
      <c r="P37">
        <f t="shared" si="16"/>
        <v>3.378433897719773E-13</v>
      </c>
      <c r="Q37">
        <f t="shared" si="16"/>
        <v>3.378433897719773E-13</v>
      </c>
      <c r="R37">
        <f t="shared" si="16"/>
        <v>3.378433897719773E-13</v>
      </c>
      <c r="S37">
        <f t="shared" si="16"/>
        <v>3.378433897719773E-13</v>
      </c>
      <c r="T37">
        <f t="shared" si="16"/>
        <v>3.378433897719773E-13</v>
      </c>
      <c r="U37">
        <f t="shared" si="16"/>
        <v>3.378433897719773E-13</v>
      </c>
      <c r="V37">
        <f t="shared" si="16"/>
        <v>3.378433897719773E-13</v>
      </c>
      <c r="W37">
        <f t="shared" si="16"/>
        <v>3.378433897719773E-13</v>
      </c>
      <c r="X37">
        <f t="shared" si="16"/>
        <v>3.378433897719773E-13</v>
      </c>
      <c r="Y37">
        <f t="shared" si="17"/>
        <v>0</v>
      </c>
      <c r="Z37">
        <f t="shared" si="17"/>
        <v>0</v>
      </c>
      <c r="AA37">
        <f t="shared" si="17"/>
        <v>0</v>
      </c>
      <c r="AB37">
        <f t="shared" si="17"/>
        <v>0</v>
      </c>
      <c r="AC37">
        <f t="shared" si="17"/>
        <v>0</v>
      </c>
      <c r="AD37">
        <f t="shared" si="17"/>
        <v>0</v>
      </c>
      <c r="AE37">
        <f t="shared" si="17"/>
        <v>0</v>
      </c>
      <c r="AF37">
        <f t="shared" si="17"/>
        <v>0</v>
      </c>
      <c r="AG37">
        <f t="shared" si="17"/>
        <v>0</v>
      </c>
      <c r="AH37">
        <f t="shared" si="17"/>
        <v>0</v>
      </c>
      <c r="AI37">
        <f t="shared" si="18"/>
        <v>0</v>
      </c>
      <c r="AJ37">
        <f t="shared" si="18"/>
        <v>0</v>
      </c>
      <c r="AK37">
        <f t="shared" si="18"/>
        <v>0</v>
      </c>
      <c r="AL37">
        <f t="shared" si="18"/>
        <v>0</v>
      </c>
      <c r="AM37">
        <f t="shared" si="18"/>
        <v>0</v>
      </c>
      <c r="AN37">
        <f t="shared" si="18"/>
        <v>0</v>
      </c>
      <c r="AO37">
        <f t="shared" si="18"/>
        <v>0</v>
      </c>
      <c r="AP37">
        <f t="shared" si="18"/>
        <v>0</v>
      </c>
      <c r="AQ37">
        <f t="shared" si="18"/>
        <v>0</v>
      </c>
      <c r="AR37">
        <f t="shared" si="18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</row>
    <row r="38" spans="2:54">
      <c r="B38">
        <f t="shared" si="9"/>
        <v>28</v>
      </c>
      <c r="C38">
        <f t="shared" si="8"/>
        <v>4.6358209498785711E-14</v>
      </c>
      <c r="D38">
        <f t="shared" si="2"/>
        <v>4.6358209410431548E-14</v>
      </c>
      <c r="E38">
        <f t="shared" si="15"/>
        <v>4.6358209498786039E-14</v>
      </c>
      <c r="F38">
        <f t="shared" si="15"/>
        <v>4.6358209498786039E-14</v>
      </c>
      <c r="G38">
        <f t="shared" si="15"/>
        <v>4.6358209498786039E-14</v>
      </c>
      <c r="H38">
        <f t="shared" si="15"/>
        <v>4.6358209498786039E-14</v>
      </c>
      <c r="I38">
        <f t="shared" si="15"/>
        <v>4.6358209498786039E-14</v>
      </c>
      <c r="J38">
        <f t="shared" si="15"/>
        <v>4.6358209498786039E-14</v>
      </c>
      <c r="K38">
        <f t="shared" si="15"/>
        <v>4.6358209498786039E-14</v>
      </c>
      <c r="L38">
        <f t="shared" si="15"/>
        <v>4.6358209498786039E-14</v>
      </c>
      <c r="M38">
        <f t="shared" si="15"/>
        <v>4.6358209498786039E-14</v>
      </c>
      <c r="N38">
        <f t="shared" si="15"/>
        <v>4.6358209498786039E-14</v>
      </c>
      <c r="O38">
        <f t="shared" si="16"/>
        <v>4.6358209498786039E-14</v>
      </c>
      <c r="P38">
        <f t="shared" si="16"/>
        <v>4.6358209498786039E-14</v>
      </c>
      <c r="Q38">
        <f t="shared" si="16"/>
        <v>4.6358209498786039E-14</v>
      </c>
      <c r="R38">
        <f t="shared" si="16"/>
        <v>4.6358209498786039E-14</v>
      </c>
      <c r="S38">
        <f t="shared" si="16"/>
        <v>4.6358209498786039E-14</v>
      </c>
      <c r="T38">
        <f t="shared" si="16"/>
        <v>4.6358209498786039E-14</v>
      </c>
      <c r="U38">
        <f t="shared" si="16"/>
        <v>4.6358209498786039E-14</v>
      </c>
      <c r="V38">
        <f t="shared" si="16"/>
        <v>4.6358209498786039E-14</v>
      </c>
      <c r="W38">
        <f t="shared" si="16"/>
        <v>4.6358209498786039E-14</v>
      </c>
      <c r="X38">
        <f t="shared" si="16"/>
        <v>4.6358209498786039E-14</v>
      </c>
      <c r="Y38">
        <f t="shared" si="17"/>
        <v>0</v>
      </c>
      <c r="Z38">
        <f t="shared" si="17"/>
        <v>0</v>
      </c>
      <c r="AA38">
        <f t="shared" si="17"/>
        <v>0</v>
      </c>
      <c r="AB38">
        <f t="shared" si="17"/>
        <v>0</v>
      </c>
      <c r="AC38">
        <f t="shared" si="17"/>
        <v>0</v>
      </c>
      <c r="AD38">
        <f t="shared" si="17"/>
        <v>0</v>
      </c>
      <c r="AE38">
        <f t="shared" si="17"/>
        <v>0</v>
      </c>
      <c r="AF38">
        <f t="shared" si="17"/>
        <v>0</v>
      </c>
      <c r="AG38">
        <f t="shared" si="17"/>
        <v>0</v>
      </c>
      <c r="AH38">
        <f t="shared" si="17"/>
        <v>0</v>
      </c>
      <c r="AI38">
        <f t="shared" si="18"/>
        <v>0</v>
      </c>
      <c r="AJ38">
        <f t="shared" si="18"/>
        <v>0</v>
      </c>
      <c r="AK38">
        <f t="shared" si="18"/>
        <v>0</v>
      </c>
      <c r="AL38">
        <f t="shared" si="18"/>
        <v>0</v>
      </c>
      <c r="AM38">
        <f t="shared" si="18"/>
        <v>0</v>
      </c>
      <c r="AN38">
        <f t="shared" si="18"/>
        <v>0</v>
      </c>
      <c r="AO38">
        <f t="shared" si="18"/>
        <v>0</v>
      </c>
      <c r="AP38">
        <f t="shared" si="18"/>
        <v>0</v>
      </c>
      <c r="AQ38">
        <f t="shared" si="18"/>
        <v>0</v>
      </c>
      <c r="AR38">
        <f t="shared" si="18"/>
        <v>0</v>
      </c>
      <c r="AS38">
        <f t="shared" si="19"/>
        <v>0</v>
      </c>
      <c r="AT38">
        <f t="shared" si="19"/>
        <v>0</v>
      </c>
      <c r="AU38">
        <f t="shared" si="19"/>
        <v>0</v>
      </c>
      <c r="AV38">
        <f t="shared" si="19"/>
        <v>0</v>
      </c>
      <c r="AW38">
        <f t="shared" si="19"/>
        <v>0</v>
      </c>
      <c r="AX38">
        <f t="shared" si="19"/>
        <v>0</v>
      </c>
      <c r="AY38">
        <f t="shared" si="19"/>
        <v>0</v>
      </c>
      <c r="AZ38">
        <f t="shared" si="19"/>
        <v>0</v>
      </c>
      <c r="BA38">
        <f t="shared" si="19"/>
        <v>0</v>
      </c>
      <c r="BB38">
        <f t="shared" si="19"/>
        <v>0</v>
      </c>
    </row>
    <row r="39" spans="2:54">
      <c r="B39">
        <f t="shared" si="9"/>
        <v>29</v>
      </c>
      <c r="C39">
        <f t="shared" si="8"/>
        <v>6.0576970669920414E-15</v>
      </c>
      <c r="D39">
        <f t="shared" si="2"/>
        <v>6.0576970554466707E-15</v>
      </c>
      <c r="E39">
        <f t="shared" si="15"/>
        <v>6.0576970669920847E-15</v>
      </c>
      <c r="F39">
        <f t="shared" si="15"/>
        <v>6.0576970669920847E-15</v>
      </c>
      <c r="G39">
        <f t="shared" si="15"/>
        <v>6.0576970669920847E-15</v>
      </c>
      <c r="H39">
        <f t="shared" si="15"/>
        <v>6.0576970669920847E-15</v>
      </c>
      <c r="I39">
        <f t="shared" si="15"/>
        <v>6.0576970669920847E-15</v>
      </c>
      <c r="J39">
        <f t="shared" si="15"/>
        <v>6.0576970669920847E-15</v>
      </c>
      <c r="K39">
        <f t="shared" si="15"/>
        <v>6.0576970669920847E-15</v>
      </c>
      <c r="L39">
        <f t="shared" si="15"/>
        <v>6.0576970669920847E-15</v>
      </c>
      <c r="M39">
        <f t="shared" si="15"/>
        <v>6.0576970669920847E-15</v>
      </c>
      <c r="N39">
        <f t="shared" si="15"/>
        <v>6.0576970669920847E-15</v>
      </c>
      <c r="O39">
        <f t="shared" si="16"/>
        <v>6.0576970669920847E-15</v>
      </c>
      <c r="P39">
        <f t="shared" si="16"/>
        <v>6.0576970669920847E-15</v>
      </c>
      <c r="Q39">
        <f t="shared" si="16"/>
        <v>6.0576970669920847E-15</v>
      </c>
      <c r="R39">
        <f t="shared" si="16"/>
        <v>6.0576970669920847E-15</v>
      </c>
      <c r="S39">
        <f t="shared" si="16"/>
        <v>6.0576970669920847E-15</v>
      </c>
      <c r="T39">
        <f t="shared" si="16"/>
        <v>6.0576970669920847E-15</v>
      </c>
      <c r="U39">
        <f t="shared" si="16"/>
        <v>6.0576970669920847E-15</v>
      </c>
      <c r="V39">
        <f t="shared" si="16"/>
        <v>6.0576970669920847E-15</v>
      </c>
      <c r="W39">
        <f t="shared" si="16"/>
        <v>6.0576970669920847E-15</v>
      </c>
      <c r="X39">
        <f t="shared" si="16"/>
        <v>6.0576970669920847E-15</v>
      </c>
      <c r="Y39">
        <f t="shared" si="17"/>
        <v>0</v>
      </c>
      <c r="Z39">
        <f t="shared" si="17"/>
        <v>0</v>
      </c>
      <c r="AA39">
        <f t="shared" si="17"/>
        <v>0</v>
      </c>
      <c r="AB39">
        <f t="shared" si="17"/>
        <v>0</v>
      </c>
      <c r="AC39">
        <f t="shared" si="17"/>
        <v>0</v>
      </c>
      <c r="AD39">
        <f t="shared" si="17"/>
        <v>0</v>
      </c>
      <c r="AE39">
        <f t="shared" si="17"/>
        <v>0</v>
      </c>
      <c r="AF39">
        <f t="shared" si="17"/>
        <v>0</v>
      </c>
      <c r="AG39">
        <f t="shared" si="17"/>
        <v>0</v>
      </c>
      <c r="AH39">
        <f t="shared" si="17"/>
        <v>0</v>
      </c>
      <c r="AI39">
        <f t="shared" si="18"/>
        <v>0</v>
      </c>
      <c r="AJ39">
        <f t="shared" si="18"/>
        <v>0</v>
      </c>
      <c r="AK39">
        <f t="shared" si="18"/>
        <v>0</v>
      </c>
      <c r="AL39">
        <f t="shared" si="18"/>
        <v>0</v>
      </c>
      <c r="AM39">
        <f t="shared" si="18"/>
        <v>0</v>
      </c>
      <c r="AN39">
        <f t="shared" si="18"/>
        <v>0</v>
      </c>
      <c r="AO39">
        <f t="shared" si="18"/>
        <v>0</v>
      </c>
      <c r="AP39">
        <f t="shared" si="18"/>
        <v>0</v>
      </c>
      <c r="AQ39">
        <f t="shared" si="18"/>
        <v>0</v>
      </c>
      <c r="AR39">
        <f t="shared" si="18"/>
        <v>0</v>
      </c>
      <c r="AS39">
        <f t="shared" si="19"/>
        <v>0</v>
      </c>
      <c r="AT39">
        <f t="shared" si="19"/>
        <v>0</v>
      </c>
      <c r="AU39">
        <f t="shared" si="19"/>
        <v>0</v>
      </c>
      <c r="AV39">
        <f t="shared" si="19"/>
        <v>0</v>
      </c>
      <c r="AW39">
        <f t="shared" si="19"/>
        <v>0</v>
      </c>
      <c r="AX39">
        <f t="shared" si="19"/>
        <v>0</v>
      </c>
      <c r="AY39">
        <f t="shared" si="19"/>
        <v>0</v>
      </c>
      <c r="AZ39">
        <f t="shared" si="19"/>
        <v>0</v>
      </c>
      <c r="BA39">
        <f t="shared" si="19"/>
        <v>0</v>
      </c>
      <c r="BB39">
        <f t="shared" si="19"/>
        <v>0</v>
      </c>
    </row>
    <row r="40" spans="2:54">
      <c r="B40">
        <f t="shared" si="9"/>
        <v>30</v>
      </c>
      <c r="C40">
        <f t="shared" si="8"/>
        <v>7.5455524869550228E-16</v>
      </c>
      <c r="D40">
        <f t="shared" si="2"/>
        <v>7.5455524725738942E-16</v>
      </c>
      <c r="E40">
        <f t="shared" ref="E40:N49" si="20">_xlfn.BINOM.DIST($B40,Size,E$8,FALSE)</f>
        <v>7.5455524869550228E-16</v>
      </c>
      <c r="F40">
        <f t="shared" si="20"/>
        <v>7.5455524869550228E-16</v>
      </c>
      <c r="G40">
        <f t="shared" si="20"/>
        <v>7.5455524869550228E-16</v>
      </c>
      <c r="H40">
        <f t="shared" si="20"/>
        <v>7.5455524869550228E-16</v>
      </c>
      <c r="I40">
        <f t="shared" si="20"/>
        <v>7.5455524869550228E-16</v>
      </c>
      <c r="J40">
        <f t="shared" si="20"/>
        <v>7.5455524869550228E-16</v>
      </c>
      <c r="K40">
        <f t="shared" si="20"/>
        <v>7.5455524869550228E-16</v>
      </c>
      <c r="L40">
        <f t="shared" si="20"/>
        <v>7.5455524869550228E-16</v>
      </c>
      <c r="M40">
        <f t="shared" si="20"/>
        <v>7.5455524869550228E-16</v>
      </c>
      <c r="N40">
        <f t="shared" si="20"/>
        <v>7.5455524869550228E-16</v>
      </c>
      <c r="O40">
        <f t="shared" ref="O40:X49" si="21">_xlfn.BINOM.DIST($B40,Size,O$8,FALSE)</f>
        <v>7.5455524869550228E-16</v>
      </c>
      <c r="P40">
        <f t="shared" si="21"/>
        <v>7.5455524869550228E-16</v>
      </c>
      <c r="Q40">
        <f t="shared" si="21"/>
        <v>7.5455524869550228E-16</v>
      </c>
      <c r="R40">
        <f t="shared" si="21"/>
        <v>7.5455524869550228E-16</v>
      </c>
      <c r="S40">
        <f t="shared" si="21"/>
        <v>7.5455524869550228E-16</v>
      </c>
      <c r="T40">
        <f t="shared" si="21"/>
        <v>7.5455524869550228E-16</v>
      </c>
      <c r="U40">
        <f t="shared" si="21"/>
        <v>7.5455524869550228E-16</v>
      </c>
      <c r="V40">
        <f t="shared" si="21"/>
        <v>7.5455524869550228E-16</v>
      </c>
      <c r="W40">
        <f t="shared" si="21"/>
        <v>7.5455524869550228E-16</v>
      </c>
      <c r="X40">
        <f t="shared" si="21"/>
        <v>7.5455524869550228E-16</v>
      </c>
      <c r="Y40">
        <f t="shared" ref="Y40:AH49" si="22">_xlfn.BINOM.DIST($B40,Size,Y$8,FALSE)</f>
        <v>0</v>
      </c>
      <c r="Z40">
        <f t="shared" si="22"/>
        <v>0</v>
      </c>
      <c r="AA40">
        <f t="shared" si="22"/>
        <v>0</v>
      </c>
      <c r="AB40">
        <f t="shared" si="22"/>
        <v>0</v>
      </c>
      <c r="AC40">
        <f t="shared" si="22"/>
        <v>0</v>
      </c>
      <c r="AD40">
        <f t="shared" si="22"/>
        <v>0</v>
      </c>
      <c r="AE40">
        <f t="shared" si="22"/>
        <v>0</v>
      </c>
      <c r="AF40">
        <f t="shared" si="22"/>
        <v>0</v>
      </c>
      <c r="AG40">
        <f t="shared" si="22"/>
        <v>0</v>
      </c>
      <c r="AH40">
        <f t="shared" si="22"/>
        <v>0</v>
      </c>
      <c r="AI40">
        <f t="shared" ref="AI40:AR49" si="23">_xlfn.BINOM.DIST($B40,Size,AI$8,FALSE)</f>
        <v>0</v>
      </c>
      <c r="AJ40">
        <f t="shared" si="23"/>
        <v>0</v>
      </c>
      <c r="AK40">
        <f t="shared" si="23"/>
        <v>0</v>
      </c>
      <c r="AL40">
        <f t="shared" si="23"/>
        <v>0</v>
      </c>
      <c r="AM40">
        <f t="shared" si="23"/>
        <v>0</v>
      </c>
      <c r="AN40">
        <f t="shared" si="23"/>
        <v>0</v>
      </c>
      <c r="AO40">
        <f t="shared" si="23"/>
        <v>0</v>
      </c>
      <c r="AP40">
        <f t="shared" si="23"/>
        <v>0</v>
      </c>
      <c r="AQ40">
        <f t="shared" si="23"/>
        <v>0</v>
      </c>
      <c r="AR40">
        <f t="shared" si="23"/>
        <v>0</v>
      </c>
      <c r="AS40">
        <f t="shared" ref="AS40:BB49" si="24">_xlfn.BINOM.DIST($B40,Size,AS$8,FALSE)</f>
        <v>0</v>
      </c>
      <c r="AT40">
        <f t="shared" si="24"/>
        <v>0</v>
      </c>
      <c r="AU40">
        <f t="shared" si="24"/>
        <v>0</v>
      </c>
      <c r="AV40">
        <f t="shared" si="24"/>
        <v>0</v>
      </c>
      <c r="AW40">
        <f t="shared" si="24"/>
        <v>0</v>
      </c>
      <c r="AX40">
        <f t="shared" si="24"/>
        <v>0</v>
      </c>
      <c r="AY40">
        <f t="shared" si="24"/>
        <v>0</v>
      </c>
      <c r="AZ40">
        <f t="shared" si="24"/>
        <v>0</v>
      </c>
      <c r="BA40">
        <f t="shared" si="24"/>
        <v>0</v>
      </c>
      <c r="BB40">
        <f t="shared" si="24"/>
        <v>0</v>
      </c>
    </row>
    <row r="41" spans="2:54">
      <c r="B41">
        <f t="shared" si="9"/>
        <v>31</v>
      </c>
      <c r="C41">
        <f t="shared" si="8"/>
        <v>8.9675496449379781E-17</v>
      </c>
      <c r="D41">
        <f t="shared" si="2"/>
        <v>8.9675496278467174E-17</v>
      </c>
      <c r="E41">
        <f t="shared" si="20"/>
        <v>8.9675496449380422E-17</v>
      </c>
      <c r="F41">
        <f t="shared" si="20"/>
        <v>8.9675496449380422E-17</v>
      </c>
      <c r="G41">
        <f t="shared" si="20"/>
        <v>8.9675496449380422E-17</v>
      </c>
      <c r="H41">
        <f t="shared" si="20"/>
        <v>8.9675496449380422E-17</v>
      </c>
      <c r="I41">
        <f t="shared" si="20"/>
        <v>8.9675496449380422E-17</v>
      </c>
      <c r="J41">
        <f t="shared" si="20"/>
        <v>8.9675496449380422E-17</v>
      </c>
      <c r="K41">
        <f t="shared" si="20"/>
        <v>8.9675496449380422E-17</v>
      </c>
      <c r="L41">
        <f t="shared" si="20"/>
        <v>8.9675496449380422E-17</v>
      </c>
      <c r="M41">
        <f t="shared" si="20"/>
        <v>8.9675496449380422E-17</v>
      </c>
      <c r="N41">
        <f t="shared" si="20"/>
        <v>8.9675496449380422E-17</v>
      </c>
      <c r="O41">
        <f t="shared" si="21"/>
        <v>8.9675496449380422E-17</v>
      </c>
      <c r="P41">
        <f t="shared" si="21"/>
        <v>8.9675496449380422E-17</v>
      </c>
      <c r="Q41">
        <f t="shared" si="21"/>
        <v>8.9675496449380422E-17</v>
      </c>
      <c r="R41">
        <f t="shared" si="21"/>
        <v>8.9675496449380422E-17</v>
      </c>
      <c r="S41">
        <f t="shared" si="21"/>
        <v>8.9675496449380422E-17</v>
      </c>
      <c r="T41">
        <f t="shared" si="21"/>
        <v>8.9675496449380422E-17</v>
      </c>
      <c r="U41">
        <f t="shared" si="21"/>
        <v>8.9675496449380422E-17</v>
      </c>
      <c r="V41">
        <f t="shared" si="21"/>
        <v>8.9675496449380422E-17</v>
      </c>
      <c r="W41">
        <f t="shared" si="21"/>
        <v>8.9675496449380422E-17</v>
      </c>
      <c r="X41">
        <f t="shared" si="21"/>
        <v>8.9675496449380422E-17</v>
      </c>
      <c r="Y41">
        <f t="shared" si="22"/>
        <v>0</v>
      </c>
      <c r="Z41">
        <f t="shared" si="22"/>
        <v>0</v>
      </c>
      <c r="AA41">
        <f t="shared" si="22"/>
        <v>0</v>
      </c>
      <c r="AB41">
        <f t="shared" si="22"/>
        <v>0</v>
      </c>
      <c r="AC41">
        <f t="shared" si="22"/>
        <v>0</v>
      </c>
      <c r="AD41">
        <f t="shared" si="22"/>
        <v>0</v>
      </c>
      <c r="AE41">
        <f t="shared" si="22"/>
        <v>0</v>
      </c>
      <c r="AF41">
        <f t="shared" si="22"/>
        <v>0</v>
      </c>
      <c r="AG41">
        <f t="shared" si="22"/>
        <v>0</v>
      </c>
      <c r="AH41">
        <f t="shared" si="22"/>
        <v>0</v>
      </c>
      <c r="AI41">
        <f t="shared" si="23"/>
        <v>0</v>
      </c>
      <c r="AJ41">
        <f t="shared" si="23"/>
        <v>0</v>
      </c>
      <c r="AK41">
        <f t="shared" si="23"/>
        <v>0</v>
      </c>
      <c r="AL41">
        <f t="shared" si="23"/>
        <v>0</v>
      </c>
      <c r="AM41">
        <f t="shared" si="23"/>
        <v>0</v>
      </c>
      <c r="AN41">
        <f t="shared" si="23"/>
        <v>0</v>
      </c>
      <c r="AO41">
        <f t="shared" si="23"/>
        <v>0</v>
      </c>
      <c r="AP41">
        <f t="shared" si="23"/>
        <v>0</v>
      </c>
      <c r="AQ41">
        <f t="shared" si="23"/>
        <v>0</v>
      </c>
      <c r="AR41">
        <f t="shared" si="23"/>
        <v>0</v>
      </c>
      <c r="AS41">
        <f t="shared" si="24"/>
        <v>0</v>
      </c>
      <c r="AT41">
        <f t="shared" si="24"/>
        <v>0</v>
      </c>
      <c r="AU41">
        <f t="shared" si="24"/>
        <v>0</v>
      </c>
      <c r="AV41">
        <f t="shared" si="24"/>
        <v>0</v>
      </c>
      <c r="AW41">
        <f t="shared" si="24"/>
        <v>0</v>
      </c>
      <c r="AX41">
        <f t="shared" si="24"/>
        <v>0</v>
      </c>
      <c r="AY41">
        <f t="shared" si="24"/>
        <v>0</v>
      </c>
      <c r="AZ41">
        <f t="shared" si="24"/>
        <v>0</v>
      </c>
      <c r="BA41">
        <f t="shared" si="24"/>
        <v>0</v>
      </c>
      <c r="BB41">
        <f t="shared" si="24"/>
        <v>0</v>
      </c>
    </row>
    <row r="42" spans="2:54">
      <c r="B42">
        <f t="shared" si="9"/>
        <v>32</v>
      </c>
      <c r="C42">
        <f t="shared" ref="C42:C60" si="25">_xlfn.BINOM.DIST(B42,Size,PD,FALSE)</f>
        <v>1.0176988906261828E-17</v>
      </c>
      <c r="D42">
        <f t="shared" ref="D42:D60" si="26">SUMPRODUCT($E$7:$BB$7,E42:BB42)</f>
        <v>1.0176988886865496E-17</v>
      </c>
      <c r="E42">
        <f t="shared" si="20"/>
        <v>1.01769889062619E-17</v>
      </c>
      <c r="F42">
        <f t="shared" si="20"/>
        <v>1.01769889062619E-17</v>
      </c>
      <c r="G42">
        <f t="shared" si="20"/>
        <v>1.01769889062619E-17</v>
      </c>
      <c r="H42">
        <f t="shared" si="20"/>
        <v>1.01769889062619E-17</v>
      </c>
      <c r="I42">
        <f t="shared" si="20"/>
        <v>1.01769889062619E-17</v>
      </c>
      <c r="J42">
        <f t="shared" si="20"/>
        <v>1.01769889062619E-17</v>
      </c>
      <c r="K42">
        <f t="shared" si="20"/>
        <v>1.01769889062619E-17</v>
      </c>
      <c r="L42">
        <f t="shared" si="20"/>
        <v>1.01769889062619E-17</v>
      </c>
      <c r="M42">
        <f t="shared" si="20"/>
        <v>1.01769889062619E-17</v>
      </c>
      <c r="N42">
        <f t="shared" si="20"/>
        <v>1.01769889062619E-17</v>
      </c>
      <c r="O42">
        <f t="shared" si="21"/>
        <v>1.01769889062619E-17</v>
      </c>
      <c r="P42">
        <f t="shared" si="21"/>
        <v>1.01769889062619E-17</v>
      </c>
      <c r="Q42">
        <f t="shared" si="21"/>
        <v>1.01769889062619E-17</v>
      </c>
      <c r="R42">
        <f t="shared" si="21"/>
        <v>1.01769889062619E-17</v>
      </c>
      <c r="S42">
        <f t="shared" si="21"/>
        <v>1.01769889062619E-17</v>
      </c>
      <c r="T42">
        <f t="shared" si="21"/>
        <v>1.01769889062619E-17</v>
      </c>
      <c r="U42">
        <f t="shared" si="21"/>
        <v>1.01769889062619E-17</v>
      </c>
      <c r="V42">
        <f t="shared" si="21"/>
        <v>1.01769889062619E-17</v>
      </c>
      <c r="W42">
        <f t="shared" si="21"/>
        <v>1.01769889062619E-17</v>
      </c>
      <c r="X42">
        <f t="shared" si="21"/>
        <v>1.01769889062619E-17</v>
      </c>
      <c r="Y42">
        <f t="shared" si="22"/>
        <v>0</v>
      </c>
      <c r="Z42">
        <f t="shared" si="22"/>
        <v>0</v>
      </c>
      <c r="AA42">
        <f t="shared" si="22"/>
        <v>0</v>
      </c>
      <c r="AB42">
        <f t="shared" si="22"/>
        <v>0</v>
      </c>
      <c r="AC42">
        <f t="shared" si="22"/>
        <v>0</v>
      </c>
      <c r="AD42">
        <f t="shared" si="22"/>
        <v>0</v>
      </c>
      <c r="AE42">
        <f t="shared" si="22"/>
        <v>0</v>
      </c>
      <c r="AF42">
        <f t="shared" si="22"/>
        <v>0</v>
      </c>
      <c r="AG42">
        <f t="shared" si="22"/>
        <v>0</v>
      </c>
      <c r="AH42">
        <f t="shared" si="22"/>
        <v>0</v>
      </c>
      <c r="AI42">
        <f t="shared" si="23"/>
        <v>0</v>
      </c>
      <c r="AJ42">
        <f t="shared" si="23"/>
        <v>0</v>
      </c>
      <c r="AK42">
        <f t="shared" si="23"/>
        <v>0</v>
      </c>
      <c r="AL42">
        <f t="shared" si="23"/>
        <v>0</v>
      </c>
      <c r="AM42">
        <f t="shared" si="23"/>
        <v>0</v>
      </c>
      <c r="AN42">
        <f t="shared" si="23"/>
        <v>0</v>
      </c>
      <c r="AO42">
        <f t="shared" si="23"/>
        <v>0</v>
      </c>
      <c r="AP42">
        <f t="shared" si="23"/>
        <v>0</v>
      </c>
      <c r="AQ42">
        <f t="shared" si="23"/>
        <v>0</v>
      </c>
      <c r="AR42">
        <f t="shared" si="23"/>
        <v>0</v>
      </c>
      <c r="AS42">
        <f t="shared" si="24"/>
        <v>0</v>
      </c>
      <c r="AT42">
        <f t="shared" si="24"/>
        <v>0</v>
      </c>
      <c r="AU42">
        <f t="shared" si="24"/>
        <v>0</v>
      </c>
      <c r="AV42">
        <f t="shared" si="24"/>
        <v>0</v>
      </c>
      <c r="AW42">
        <f t="shared" si="24"/>
        <v>0</v>
      </c>
      <c r="AX42">
        <f t="shared" si="24"/>
        <v>0</v>
      </c>
      <c r="AY42">
        <f t="shared" si="24"/>
        <v>0</v>
      </c>
      <c r="AZ42">
        <f t="shared" si="24"/>
        <v>0</v>
      </c>
      <c r="BA42">
        <f t="shared" si="24"/>
        <v>0</v>
      </c>
      <c r="BB42">
        <f t="shared" si="24"/>
        <v>0</v>
      </c>
    </row>
    <row r="43" spans="2:54">
      <c r="B43">
        <f t="shared" si="9"/>
        <v>33</v>
      </c>
      <c r="C43">
        <f t="shared" si="25"/>
        <v>1.1037244746823217E-18</v>
      </c>
      <c r="D43">
        <f t="shared" si="26"/>
        <v>1.1037244725787246E-18</v>
      </c>
      <c r="E43">
        <f t="shared" si="20"/>
        <v>1.1037244746823217E-18</v>
      </c>
      <c r="F43">
        <f t="shared" si="20"/>
        <v>1.1037244746823217E-18</v>
      </c>
      <c r="G43">
        <f t="shared" si="20"/>
        <v>1.1037244746823217E-18</v>
      </c>
      <c r="H43">
        <f t="shared" si="20"/>
        <v>1.1037244746823217E-18</v>
      </c>
      <c r="I43">
        <f t="shared" si="20"/>
        <v>1.1037244746823217E-18</v>
      </c>
      <c r="J43">
        <f t="shared" si="20"/>
        <v>1.1037244746823217E-18</v>
      </c>
      <c r="K43">
        <f t="shared" si="20"/>
        <v>1.1037244746823217E-18</v>
      </c>
      <c r="L43">
        <f t="shared" si="20"/>
        <v>1.1037244746823217E-18</v>
      </c>
      <c r="M43">
        <f t="shared" si="20"/>
        <v>1.1037244746823217E-18</v>
      </c>
      <c r="N43">
        <f t="shared" si="20"/>
        <v>1.1037244746823217E-18</v>
      </c>
      <c r="O43">
        <f t="shared" si="21"/>
        <v>1.1037244746823217E-18</v>
      </c>
      <c r="P43">
        <f t="shared" si="21"/>
        <v>1.1037244746823217E-18</v>
      </c>
      <c r="Q43">
        <f t="shared" si="21"/>
        <v>1.1037244746823217E-18</v>
      </c>
      <c r="R43">
        <f t="shared" si="21"/>
        <v>1.1037244746823217E-18</v>
      </c>
      <c r="S43">
        <f t="shared" si="21"/>
        <v>1.1037244746823217E-18</v>
      </c>
      <c r="T43">
        <f t="shared" si="21"/>
        <v>1.1037244746823217E-18</v>
      </c>
      <c r="U43">
        <f t="shared" si="21"/>
        <v>1.1037244746823217E-18</v>
      </c>
      <c r="V43">
        <f t="shared" si="21"/>
        <v>1.1037244746823217E-18</v>
      </c>
      <c r="W43">
        <f t="shared" si="21"/>
        <v>1.1037244746823217E-18</v>
      </c>
      <c r="X43">
        <f t="shared" si="21"/>
        <v>1.1037244746823217E-18</v>
      </c>
      <c r="Y43">
        <f t="shared" si="22"/>
        <v>0</v>
      </c>
      <c r="Z43">
        <f t="shared" si="22"/>
        <v>0</v>
      </c>
      <c r="AA43">
        <f t="shared" si="22"/>
        <v>0</v>
      </c>
      <c r="AB43">
        <f t="shared" si="22"/>
        <v>0</v>
      </c>
      <c r="AC43">
        <f t="shared" si="22"/>
        <v>0</v>
      </c>
      <c r="AD43">
        <f t="shared" si="22"/>
        <v>0</v>
      </c>
      <c r="AE43">
        <f t="shared" si="22"/>
        <v>0</v>
      </c>
      <c r="AF43">
        <f t="shared" si="22"/>
        <v>0</v>
      </c>
      <c r="AG43">
        <f t="shared" si="22"/>
        <v>0</v>
      </c>
      <c r="AH43">
        <f t="shared" si="22"/>
        <v>0</v>
      </c>
      <c r="AI43">
        <f t="shared" si="23"/>
        <v>0</v>
      </c>
      <c r="AJ43">
        <f t="shared" si="23"/>
        <v>0</v>
      </c>
      <c r="AK43">
        <f t="shared" si="23"/>
        <v>0</v>
      </c>
      <c r="AL43">
        <f t="shared" si="23"/>
        <v>0</v>
      </c>
      <c r="AM43">
        <f t="shared" si="23"/>
        <v>0</v>
      </c>
      <c r="AN43">
        <f t="shared" si="23"/>
        <v>0</v>
      </c>
      <c r="AO43">
        <f t="shared" si="23"/>
        <v>0</v>
      </c>
      <c r="AP43">
        <f t="shared" si="23"/>
        <v>0</v>
      </c>
      <c r="AQ43">
        <f t="shared" si="23"/>
        <v>0</v>
      </c>
      <c r="AR43">
        <f t="shared" si="23"/>
        <v>0</v>
      </c>
      <c r="AS43">
        <f t="shared" si="24"/>
        <v>0</v>
      </c>
      <c r="AT43">
        <f t="shared" si="24"/>
        <v>0</v>
      </c>
      <c r="AU43">
        <f t="shared" si="24"/>
        <v>0</v>
      </c>
      <c r="AV43">
        <f t="shared" si="24"/>
        <v>0</v>
      </c>
      <c r="AW43">
        <f t="shared" si="24"/>
        <v>0</v>
      </c>
      <c r="AX43">
        <f t="shared" si="24"/>
        <v>0</v>
      </c>
      <c r="AY43">
        <f t="shared" si="24"/>
        <v>0</v>
      </c>
      <c r="AZ43">
        <f t="shared" si="24"/>
        <v>0</v>
      </c>
      <c r="BA43">
        <f t="shared" si="24"/>
        <v>0</v>
      </c>
      <c r="BB43">
        <f t="shared" si="24"/>
        <v>0</v>
      </c>
    </row>
    <row r="44" spans="2:54">
      <c r="B44">
        <f t="shared" si="9"/>
        <v>34</v>
      </c>
      <c r="C44">
        <f t="shared" si="25"/>
        <v>1.1447297183237521E-19</v>
      </c>
      <c r="D44">
        <f t="shared" si="26"/>
        <v>1.144729716142019E-19</v>
      </c>
      <c r="E44">
        <f t="shared" si="20"/>
        <v>1.1447297183237683E-19</v>
      </c>
      <c r="F44">
        <f t="shared" si="20"/>
        <v>1.1447297183237683E-19</v>
      </c>
      <c r="G44">
        <f t="shared" si="20"/>
        <v>1.1447297183237683E-19</v>
      </c>
      <c r="H44">
        <f t="shared" si="20"/>
        <v>1.1447297183237683E-19</v>
      </c>
      <c r="I44">
        <f t="shared" si="20"/>
        <v>1.1447297183237683E-19</v>
      </c>
      <c r="J44">
        <f t="shared" si="20"/>
        <v>1.1447297183237683E-19</v>
      </c>
      <c r="K44">
        <f t="shared" si="20"/>
        <v>1.1447297183237683E-19</v>
      </c>
      <c r="L44">
        <f t="shared" si="20"/>
        <v>1.1447297183237683E-19</v>
      </c>
      <c r="M44">
        <f t="shared" si="20"/>
        <v>1.1447297183237683E-19</v>
      </c>
      <c r="N44">
        <f t="shared" si="20"/>
        <v>1.1447297183237683E-19</v>
      </c>
      <c r="O44">
        <f t="shared" si="21"/>
        <v>1.1447297183237683E-19</v>
      </c>
      <c r="P44">
        <f t="shared" si="21"/>
        <v>1.1447297183237683E-19</v>
      </c>
      <c r="Q44">
        <f t="shared" si="21"/>
        <v>1.1447297183237683E-19</v>
      </c>
      <c r="R44">
        <f t="shared" si="21"/>
        <v>1.1447297183237683E-19</v>
      </c>
      <c r="S44">
        <f t="shared" si="21"/>
        <v>1.1447297183237683E-19</v>
      </c>
      <c r="T44">
        <f t="shared" si="21"/>
        <v>1.1447297183237683E-19</v>
      </c>
      <c r="U44">
        <f t="shared" si="21"/>
        <v>1.1447297183237683E-19</v>
      </c>
      <c r="V44">
        <f t="shared" si="21"/>
        <v>1.1447297183237683E-19</v>
      </c>
      <c r="W44">
        <f t="shared" si="21"/>
        <v>1.1447297183237683E-19</v>
      </c>
      <c r="X44">
        <f t="shared" si="21"/>
        <v>1.1447297183237683E-19</v>
      </c>
      <c r="Y44">
        <f t="shared" si="22"/>
        <v>0</v>
      </c>
      <c r="Z44">
        <f t="shared" si="22"/>
        <v>0</v>
      </c>
      <c r="AA44">
        <f t="shared" si="22"/>
        <v>0</v>
      </c>
      <c r="AB44">
        <f t="shared" si="22"/>
        <v>0</v>
      </c>
      <c r="AC44">
        <f t="shared" si="22"/>
        <v>0</v>
      </c>
      <c r="AD44">
        <f t="shared" si="22"/>
        <v>0</v>
      </c>
      <c r="AE44">
        <f t="shared" si="22"/>
        <v>0</v>
      </c>
      <c r="AF44">
        <f t="shared" si="22"/>
        <v>0</v>
      </c>
      <c r="AG44">
        <f t="shared" si="22"/>
        <v>0</v>
      </c>
      <c r="AH44">
        <f t="shared" si="22"/>
        <v>0</v>
      </c>
      <c r="AI44">
        <f t="shared" si="23"/>
        <v>0</v>
      </c>
      <c r="AJ44">
        <f t="shared" si="23"/>
        <v>0</v>
      </c>
      <c r="AK44">
        <f t="shared" si="23"/>
        <v>0</v>
      </c>
      <c r="AL44">
        <f t="shared" si="23"/>
        <v>0</v>
      </c>
      <c r="AM44">
        <f t="shared" si="23"/>
        <v>0</v>
      </c>
      <c r="AN44">
        <f t="shared" si="23"/>
        <v>0</v>
      </c>
      <c r="AO44">
        <f t="shared" si="23"/>
        <v>0</v>
      </c>
      <c r="AP44">
        <f t="shared" si="23"/>
        <v>0</v>
      </c>
      <c r="AQ44">
        <f t="shared" si="23"/>
        <v>0</v>
      </c>
      <c r="AR44">
        <f t="shared" si="23"/>
        <v>0</v>
      </c>
      <c r="AS44">
        <f t="shared" si="24"/>
        <v>0</v>
      </c>
      <c r="AT44">
        <f t="shared" si="24"/>
        <v>0</v>
      </c>
      <c r="AU44">
        <f t="shared" si="24"/>
        <v>0</v>
      </c>
      <c r="AV44">
        <f t="shared" si="24"/>
        <v>0</v>
      </c>
      <c r="AW44">
        <f t="shared" si="24"/>
        <v>0</v>
      </c>
      <c r="AX44">
        <f t="shared" si="24"/>
        <v>0</v>
      </c>
      <c r="AY44">
        <f t="shared" si="24"/>
        <v>0</v>
      </c>
      <c r="AZ44">
        <f t="shared" si="24"/>
        <v>0</v>
      </c>
      <c r="BA44">
        <f t="shared" si="24"/>
        <v>0</v>
      </c>
      <c r="BB44">
        <f t="shared" si="24"/>
        <v>0</v>
      </c>
    </row>
    <row r="45" spans="2:54">
      <c r="B45">
        <f t="shared" si="9"/>
        <v>35</v>
      </c>
      <c r="C45">
        <f t="shared" si="25"/>
        <v>1.1361227279604225E-20</v>
      </c>
      <c r="D45">
        <f t="shared" si="26"/>
        <v>1.1361227257950769E-20</v>
      </c>
      <c r="E45">
        <f t="shared" si="20"/>
        <v>1.1361227279604225E-20</v>
      </c>
      <c r="F45">
        <f t="shared" si="20"/>
        <v>1.1361227279604225E-20</v>
      </c>
      <c r="G45">
        <f t="shared" si="20"/>
        <v>1.1361227279604225E-20</v>
      </c>
      <c r="H45">
        <f t="shared" si="20"/>
        <v>1.1361227279604225E-20</v>
      </c>
      <c r="I45">
        <f t="shared" si="20"/>
        <v>1.1361227279604225E-20</v>
      </c>
      <c r="J45">
        <f t="shared" si="20"/>
        <v>1.1361227279604225E-20</v>
      </c>
      <c r="K45">
        <f t="shared" si="20"/>
        <v>1.1361227279604225E-20</v>
      </c>
      <c r="L45">
        <f t="shared" si="20"/>
        <v>1.1361227279604225E-20</v>
      </c>
      <c r="M45">
        <f t="shared" si="20"/>
        <v>1.1361227279604225E-20</v>
      </c>
      <c r="N45">
        <f t="shared" si="20"/>
        <v>1.1361227279604225E-20</v>
      </c>
      <c r="O45">
        <f t="shared" si="21"/>
        <v>1.1361227279604225E-20</v>
      </c>
      <c r="P45">
        <f t="shared" si="21"/>
        <v>1.1361227279604225E-20</v>
      </c>
      <c r="Q45">
        <f t="shared" si="21"/>
        <v>1.1361227279604225E-20</v>
      </c>
      <c r="R45">
        <f t="shared" si="21"/>
        <v>1.1361227279604225E-20</v>
      </c>
      <c r="S45">
        <f t="shared" si="21"/>
        <v>1.1361227279604225E-20</v>
      </c>
      <c r="T45">
        <f t="shared" si="21"/>
        <v>1.1361227279604225E-20</v>
      </c>
      <c r="U45">
        <f t="shared" si="21"/>
        <v>1.1361227279604225E-20</v>
      </c>
      <c r="V45">
        <f t="shared" si="21"/>
        <v>1.1361227279604225E-20</v>
      </c>
      <c r="W45">
        <f t="shared" si="21"/>
        <v>1.1361227279604225E-20</v>
      </c>
      <c r="X45">
        <f t="shared" si="21"/>
        <v>1.1361227279604225E-20</v>
      </c>
      <c r="Y45">
        <f t="shared" si="22"/>
        <v>0</v>
      </c>
      <c r="Z45">
        <f t="shared" si="22"/>
        <v>0</v>
      </c>
      <c r="AA45">
        <f t="shared" si="22"/>
        <v>0</v>
      </c>
      <c r="AB45">
        <f t="shared" si="22"/>
        <v>0</v>
      </c>
      <c r="AC45">
        <f t="shared" si="22"/>
        <v>0</v>
      </c>
      <c r="AD45">
        <f t="shared" si="22"/>
        <v>0</v>
      </c>
      <c r="AE45">
        <f t="shared" si="22"/>
        <v>0</v>
      </c>
      <c r="AF45">
        <f t="shared" si="22"/>
        <v>0</v>
      </c>
      <c r="AG45">
        <f t="shared" si="22"/>
        <v>0</v>
      </c>
      <c r="AH45">
        <f t="shared" si="22"/>
        <v>0</v>
      </c>
      <c r="AI45">
        <f t="shared" si="23"/>
        <v>0</v>
      </c>
      <c r="AJ45">
        <f t="shared" si="23"/>
        <v>0</v>
      </c>
      <c r="AK45">
        <f t="shared" si="23"/>
        <v>0</v>
      </c>
      <c r="AL45">
        <f t="shared" si="23"/>
        <v>0</v>
      </c>
      <c r="AM45">
        <f t="shared" si="23"/>
        <v>0</v>
      </c>
      <c r="AN45">
        <f t="shared" si="23"/>
        <v>0</v>
      </c>
      <c r="AO45">
        <f t="shared" si="23"/>
        <v>0</v>
      </c>
      <c r="AP45">
        <f t="shared" si="23"/>
        <v>0</v>
      </c>
      <c r="AQ45">
        <f t="shared" si="23"/>
        <v>0</v>
      </c>
      <c r="AR45">
        <f t="shared" si="23"/>
        <v>0</v>
      </c>
      <c r="AS45">
        <f t="shared" si="24"/>
        <v>0</v>
      </c>
      <c r="AT45">
        <f t="shared" si="24"/>
        <v>0</v>
      </c>
      <c r="AU45">
        <f t="shared" si="24"/>
        <v>0</v>
      </c>
      <c r="AV45">
        <f t="shared" si="24"/>
        <v>0</v>
      </c>
      <c r="AW45">
        <f t="shared" si="24"/>
        <v>0</v>
      </c>
      <c r="AX45">
        <f t="shared" si="24"/>
        <v>0</v>
      </c>
      <c r="AY45">
        <f t="shared" si="24"/>
        <v>0</v>
      </c>
      <c r="AZ45">
        <f t="shared" si="24"/>
        <v>0</v>
      </c>
      <c r="BA45">
        <f t="shared" si="24"/>
        <v>0</v>
      </c>
      <c r="BB45">
        <f t="shared" si="24"/>
        <v>0</v>
      </c>
    </row>
    <row r="46" spans="2:54">
      <c r="B46">
        <f t="shared" si="9"/>
        <v>36</v>
      </c>
      <c r="C46">
        <f t="shared" si="25"/>
        <v>1.0796487911904487E-21</v>
      </c>
      <c r="D46">
        <f t="shared" si="26"/>
        <v>1.0796487891327524E-21</v>
      </c>
      <c r="E46">
        <f t="shared" si="20"/>
        <v>1.0796487911904639E-21</v>
      </c>
      <c r="F46">
        <f t="shared" si="20"/>
        <v>1.0796487911904639E-21</v>
      </c>
      <c r="G46">
        <f t="shared" si="20"/>
        <v>1.0796487911904639E-21</v>
      </c>
      <c r="H46">
        <f t="shared" si="20"/>
        <v>1.0796487911904639E-21</v>
      </c>
      <c r="I46">
        <f t="shared" si="20"/>
        <v>1.0796487911904639E-21</v>
      </c>
      <c r="J46">
        <f t="shared" si="20"/>
        <v>1.0796487911904639E-21</v>
      </c>
      <c r="K46">
        <f t="shared" si="20"/>
        <v>1.0796487911904639E-21</v>
      </c>
      <c r="L46">
        <f t="shared" si="20"/>
        <v>1.0796487911904639E-21</v>
      </c>
      <c r="M46">
        <f t="shared" si="20"/>
        <v>1.0796487911904639E-21</v>
      </c>
      <c r="N46">
        <f t="shared" si="20"/>
        <v>1.0796487911904639E-21</v>
      </c>
      <c r="O46">
        <f t="shared" si="21"/>
        <v>1.0796487911904639E-21</v>
      </c>
      <c r="P46">
        <f t="shared" si="21"/>
        <v>1.0796487911904639E-21</v>
      </c>
      <c r="Q46">
        <f t="shared" si="21"/>
        <v>1.0796487911904639E-21</v>
      </c>
      <c r="R46">
        <f t="shared" si="21"/>
        <v>1.0796487911904639E-21</v>
      </c>
      <c r="S46">
        <f t="shared" si="21"/>
        <v>1.0796487911904639E-21</v>
      </c>
      <c r="T46">
        <f t="shared" si="21"/>
        <v>1.0796487911904639E-21</v>
      </c>
      <c r="U46">
        <f t="shared" si="21"/>
        <v>1.0796487911904639E-21</v>
      </c>
      <c r="V46">
        <f t="shared" si="21"/>
        <v>1.0796487911904639E-21</v>
      </c>
      <c r="W46">
        <f t="shared" si="21"/>
        <v>1.0796487911904639E-21</v>
      </c>
      <c r="X46">
        <f t="shared" si="21"/>
        <v>1.0796487911904639E-21</v>
      </c>
      <c r="Y46">
        <f t="shared" si="22"/>
        <v>0</v>
      </c>
      <c r="Z46">
        <f t="shared" si="22"/>
        <v>0</v>
      </c>
      <c r="AA46">
        <f t="shared" si="22"/>
        <v>0</v>
      </c>
      <c r="AB46">
        <f t="shared" si="22"/>
        <v>0</v>
      </c>
      <c r="AC46">
        <f t="shared" si="22"/>
        <v>0</v>
      </c>
      <c r="AD46">
        <f t="shared" si="22"/>
        <v>0</v>
      </c>
      <c r="AE46">
        <f t="shared" si="22"/>
        <v>0</v>
      </c>
      <c r="AF46">
        <f t="shared" si="22"/>
        <v>0</v>
      </c>
      <c r="AG46">
        <f t="shared" si="22"/>
        <v>0</v>
      </c>
      <c r="AH46">
        <f t="shared" si="22"/>
        <v>0</v>
      </c>
      <c r="AI46">
        <f t="shared" si="23"/>
        <v>0</v>
      </c>
      <c r="AJ46">
        <f t="shared" si="23"/>
        <v>0</v>
      </c>
      <c r="AK46">
        <f t="shared" si="23"/>
        <v>0</v>
      </c>
      <c r="AL46">
        <f t="shared" si="23"/>
        <v>0</v>
      </c>
      <c r="AM46">
        <f t="shared" si="23"/>
        <v>0</v>
      </c>
      <c r="AN46">
        <f t="shared" si="23"/>
        <v>0</v>
      </c>
      <c r="AO46">
        <f t="shared" si="23"/>
        <v>0</v>
      </c>
      <c r="AP46">
        <f t="shared" si="23"/>
        <v>0</v>
      </c>
      <c r="AQ46">
        <f t="shared" si="23"/>
        <v>0</v>
      </c>
      <c r="AR46">
        <f t="shared" si="23"/>
        <v>0</v>
      </c>
      <c r="AS46">
        <f t="shared" si="24"/>
        <v>0</v>
      </c>
      <c r="AT46">
        <f t="shared" si="24"/>
        <v>0</v>
      </c>
      <c r="AU46">
        <f t="shared" si="24"/>
        <v>0</v>
      </c>
      <c r="AV46">
        <f t="shared" si="24"/>
        <v>0</v>
      </c>
      <c r="AW46">
        <f t="shared" si="24"/>
        <v>0</v>
      </c>
      <c r="AX46">
        <f t="shared" si="24"/>
        <v>0</v>
      </c>
      <c r="AY46">
        <f t="shared" si="24"/>
        <v>0</v>
      </c>
      <c r="AZ46">
        <f t="shared" si="24"/>
        <v>0</v>
      </c>
      <c r="BA46">
        <f t="shared" si="24"/>
        <v>0</v>
      </c>
      <c r="BB46">
        <f t="shared" si="24"/>
        <v>0</v>
      </c>
    </row>
    <row r="47" spans="2:54">
      <c r="B47">
        <f t="shared" si="9"/>
        <v>37</v>
      </c>
      <c r="C47">
        <f t="shared" si="25"/>
        <v>9.8289505883625334E-23</v>
      </c>
      <c r="D47">
        <f t="shared" si="26"/>
        <v>9.8289505696297379E-23</v>
      </c>
      <c r="E47">
        <f t="shared" si="20"/>
        <v>9.8289505883628132E-23</v>
      </c>
      <c r="F47">
        <f t="shared" si="20"/>
        <v>9.8289505883628132E-23</v>
      </c>
      <c r="G47">
        <f t="shared" si="20"/>
        <v>9.8289505883628132E-23</v>
      </c>
      <c r="H47">
        <f t="shared" si="20"/>
        <v>9.8289505883628132E-23</v>
      </c>
      <c r="I47">
        <f t="shared" si="20"/>
        <v>9.8289505883628132E-23</v>
      </c>
      <c r="J47">
        <f t="shared" si="20"/>
        <v>9.8289505883628132E-23</v>
      </c>
      <c r="K47">
        <f t="shared" si="20"/>
        <v>9.8289505883628132E-23</v>
      </c>
      <c r="L47">
        <f t="shared" si="20"/>
        <v>9.8289505883628132E-23</v>
      </c>
      <c r="M47">
        <f t="shared" si="20"/>
        <v>9.8289505883628132E-23</v>
      </c>
      <c r="N47">
        <f t="shared" si="20"/>
        <v>9.8289505883628132E-23</v>
      </c>
      <c r="O47">
        <f t="shared" si="21"/>
        <v>9.8289505883628132E-23</v>
      </c>
      <c r="P47">
        <f t="shared" si="21"/>
        <v>9.8289505883628132E-23</v>
      </c>
      <c r="Q47">
        <f t="shared" si="21"/>
        <v>9.8289505883628132E-23</v>
      </c>
      <c r="R47">
        <f t="shared" si="21"/>
        <v>9.8289505883628132E-23</v>
      </c>
      <c r="S47">
        <f t="shared" si="21"/>
        <v>9.8289505883628132E-23</v>
      </c>
      <c r="T47">
        <f t="shared" si="21"/>
        <v>9.8289505883628132E-23</v>
      </c>
      <c r="U47">
        <f t="shared" si="21"/>
        <v>9.8289505883628132E-23</v>
      </c>
      <c r="V47">
        <f t="shared" si="21"/>
        <v>9.8289505883628132E-23</v>
      </c>
      <c r="W47">
        <f t="shared" si="21"/>
        <v>9.8289505883628132E-23</v>
      </c>
      <c r="X47">
        <f t="shared" si="21"/>
        <v>9.8289505883628132E-23</v>
      </c>
      <c r="Y47">
        <f t="shared" si="22"/>
        <v>0</v>
      </c>
      <c r="Z47">
        <f t="shared" si="22"/>
        <v>0</v>
      </c>
      <c r="AA47">
        <f t="shared" si="22"/>
        <v>0</v>
      </c>
      <c r="AB47">
        <f t="shared" si="22"/>
        <v>0</v>
      </c>
      <c r="AC47">
        <f t="shared" si="22"/>
        <v>0</v>
      </c>
      <c r="AD47">
        <f t="shared" si="22"/>
        <v>0</v>
      </c>
      <c r="AE47">
        <f t="shared" si="22"/>
        <v>0</v>
      </c>
      <c r="AF47">
        <f t="shared" si="22"/>
        <v>0</v>
      </c>
      <c r="AG47">
        <f t="shared" si="22"/>
        <v>0</v>
      </c>
      <c r="AH47">
        <f t="shared" si="22"/>
        <v>0</v>
      </c>
      <c r="AI47">
        <f t="shared" si="23"/>
        <v>0</v>
      </c>
      <c r="AJ47">
        <f t="shared" si="23"/>
        <v>0</v>
      </c>
      <c r="AK47">
        <f t="shared" si="23"/>
        <v>0</v>
      </c>
      <c r="AL47">
        <f t="shared" si="23"/>
        <v>0</v>
      </c>
      <c r="AM47">
        <f t="shared" si="23"/>
        <v>0</v>
      </c>
      <c r="AN47">
        <f t="shared" si="23"/>
        <v>0</v>
      </c>
      <c r="AO47">
        <f t="shared" si="23"/>
        <v>0</v>
      </c>
      <c r="AP47">
        <f t="shared" si="23"/>
        <v>0</v>
      </c>
      <c r="AQ47">
        <f t="shared" si="23"/>
        <v>0</v>
      </c>
      <c r="AR47">
        <f t="shared" si="23"/>
        <v>0</v>
      </c>
      <c r="AS47">
        <f t="shared" si="24"/>
        <v>0</v>
      </c>
      <c r="AT47">
        <f t="shared" si="24"/>
        <v>0</v>
      </c>
      <c r="AU47">
        <f t="shared" si="24"/>
        <v>0</v>
      </c>
      <c r="AV47">
        <f t="shared" si="24"/>
        <v>0</v>
      </c>
      <c r="AW47">
        <f t="shared" si="24"/>
        <v>0</v>
      </c>
      <c r="AX47">
        <f t="shared" si="24"/>
        <v>0</v>
      </c>
      <c r="AY47">
        <f t="shared" si="24"/>
        <v>0</v>
      </c>
      <c r="AZ47">
        <f t="shared" si="24"/>
        <v>0</v>
      </c>
      <c r="BA47">
        <f t="shared" si="24"/>
        <v>0</v>
      </c>
      <c r="BB47">
        <f t="shared" si="24"/>
        <v>0</v>
      </c>
    </row>
    <row r="48" spans="2:54">
      <c r="B48">
        <f t="shared" si="9"/>
        <v>38</v>
      </c>
      <c r="C48">
        <f t="shared" si="25"/>
        <v>8.5765081311197589E-24</v>
      </c>
      <c r="D48">
        <f t="shared" si="26"/>
        <v>8.5765081147737223E-24</v>
      </c>
      <c r="E48">
        <f t="shared" si="20"/>
        <v>8.5765081311197589E-24</v>
      </c>
      <c r="F48">
        <f t="shared" si="20"/>
        <v>8.5765081311197589E-24</v>
      </c>
      <c r="G48">
        <f t="shared" si="20"/>
        <v>8.5765081311197589E-24</v>
      </c>
      <c r="H48">
        <f t="shared" si="20"/>
        <v>8.5765081311197589E-24</v>
      </c>
      <c r="I48">
        <f t="shared" si="20"/>
        <v>8.5765081311197589E-24</v>
      </c>
      <c r="J48">
        <f t="shared" si="20"/>
        <v>8.5765081311197589E-24</v>
      </c>
      <c r="K48">
        <f t="shared" si="20"/>
        <v>8.5765081311197589E-24</v>
      </c>
      <c r="L48">
        <f t="shared" si="20"/>
        <v>8.5765081311197589E-24</v>
      </c>
      <c r="M48">
        <f t="shared" si="20"/>
        <v>8.5765081311197589E-24</v>
      </c>
      <c r="N48">
        <f t="shared" si="20"/>
        <v>8.5765081311197589E-24</v>
      </c>
      <c r="O48">
        <f t="shared" si="21"/>
        <v>8.5765081311197589E-24</v>
      </c>
      <c r="P48">
        <f t="shared" si="21"/>
        <v>8.5765081311197589E-24</v>
      </c>
      <c r="Q48">
        <f t="shared" si="21"/>
        <v>8.5765081311197589E-24</v>
      </c>
      <c r="R48">
        <f t="shared" si="21"/>
        <v>8.5765081311197589E-24</v>
      </c>
      <c r="S48">
        <f t="shared" si="21"/>
        <v>8.5765081311197589E-24</v>
      </c>
      <c r="T48">
        <f t="shared" si="21"/>
        <v>8.5765081311197589E-24</v>
      </c>
      <c r="U48">
        <f t="shared" si="21"/>
        <v>8.5765081311197589E-24</v>
      </c>
      <c r="V48">
        <f t="shared" si="21"/>
        <v>8.5765081311197589E-24</v>
      </c>
      <c r="W48">
        <f t="shared" si="21"/>
        <v>8.5765081311197589E-24</v>
      </c>
      <c r="X48">
        <f t="shared" si="21"/>
        <v>8.5765081311197589E-24</v>
      </c>
      <c r="Y48">
        <f t="shared" si="22"/>
        <v>0</v>
      </c>
      <c r="Z48">
        <f t="shared" si="22"/>
        <v>0</v>
      </c>
      <c r="AA48">
        <f t="shared" si="22"/>
        <v>0</v>
      </c>
      <c r="AB48">
        <f t="shared" si="22"/>
        <v>0</v>
      </c>
      <c r="AC48">
        <f t="shared" si="22"/>
        <v>0</v>
      </c>
      <c r="AD48">
        <f t="shared" si="22"/>
        <v>0</v>
      </c>
      <c r="AE48">
        <f t="shared" si="22"/>
        <v>0</v>
      </c>
      <c r="AF48">
        <f t="shared" si="22"/>
        <v>0</v>
      </c>
      <c r="AG48">
        <f t="shared" si="22"/>
        <v>0</v>
      </c>
      <c r="AH48">
        <f t="shared" si="22"/>
        <v>0</v>
      </c>
      <c r="AI48">
        <f t="shared" si="23"/>
        <v>0</v>
      </c>
      <c r="AJ48">
        <f t="shared" si="23"/>
        <v>0</v>
      </c>
      <c r="AK48">
        <f t="shared" si="23"/>
        <v>0</v>
      </c>
      <c r="AL48">
        <f t="shared" si="23"/>
        <v>0</v>
      </c>
      <c r="AM48">
        <f t="shared" si="23"/>
        <v>0</v>
      </c>
      <c r="AN48">
        <f t="shared" si="23"/>
        <v>0</v>
      </c>
      <c r="AO48">
        <f t="shared" si="23"/>
        <v>0</v>
      </c>
      <c r="AP48">
        <f t="shared" si="23"/>
        <v>0</v>
      </c>
      <c r="AQ48">
        <f t="shared" si="23"/>
        <v>0</v>
      </c>
      <c r="AR48">
        <f t="shared" si="23"/>
        <v>0</v>
      </c>
      <c r="AS48">
        <f t="shared" si="24"/>
        <v>0</v>
      </c>
      <c r="AT48">
        <f t="shared" si="24"/>
        <v>0</v>
      </c>
      <c r="AU48">
        <f t="shared" si="24"/>
        <v>0</v>
      </c>
      <c r="AV48">
        <f t="shared" si="24"/>
        <v>0</v>
      </c>
      <c r="AW48">
        <f t="shared" si="24"/>
        <v>0</v>
      </c>
      <c r="AX48">
        <f t="shared" si="24"/>
        <v>0</v>
      </c>
      <c r="AY48">
        <f t="shared" si="24"/>
        <v>0</v>
      </c>
      <c r="AZ48">
        <f t="shared" si="24"/>
        <v>0</v>
      </c>
      <c r="BA48">
        <f t="shared" si="24"/>
        <v>0</v>
      </c>
      <c r="BB48">
        <f t="shared" si="24"/>
        <v>0</v>
      </c>
    </row>
    <row r="49" spans="2:54">
      <c r="B49">
        <f t="shared" si="9"/>
        <v>39</v>
      </c>
      <c r="C49">
        <f t="shared" si="25"/>
        <v>7.1760256967533363E-25</v>
      </c>
      <c r="D49">
        <f t="shared" si="26"/>
        <v>7.1760256830765918E-25</v>
      </c>
      <c r="E49">
        <f t="shared" si="20"/>
        <v>7.1760256967534382E-25</v>
      </c>
      <c r="F49">
        <f t="shared" si="20"/>
        <v>7.1760256967534382E-25</v>
      </c>
      <c r="G49">
        <f t="shared" si="20"/>
        <v>7.1760256967534382E-25</v>
      </c>
      <c r="H49">
        <f t="shared" si="20"/>
        <v>7.1760256967534382E-25</v>
      </c>
      <c r="I49">
        <f t="shared" si="20"/>
        <v>7.1760256967534382E-25</v>
      </c>
      <c r="J49">
        <f t="shared" si="20"/>
        <v>7.1760256967534382E-25</v>
      </c>
      <c r="K49">
        <f t="shared" si="20"/>
        <v>7.1760256967534382E-25</v>
      </c>
      <c r="L49">
        <f t="shared" si="20"/>
        <v>7.1760256967534382E-25</v>
      </c>
      <c r="M49">
        <f t="shared" si="20"/>
        <v>7.1760256967534382E-25</v>
      </c>
      <c r="N49">
        <f t="shared" si="20"/>
        <v>7.1760256967534382E-25</v>
      </c>
      <c r="O49">
        <f t="shared" si="21"/>
        <v>7.1760256967534382E-25</v>
      </c>
      <c r="P49">
        <f t="shared" si="21"/>
        <v>7.1760256967534382E-25</v>
      </c>
      <c r="Q49">
        <f t="shared" si="21"/>
        <v>7.1760256967534382E-25</v>
      </c>
      <c r="R49">
        <f t="shared" si="21"/>
        <v>7.1760256967534382E-25</v>
      </c>
      <c r="S49">
        <f t="shared" si="21"/>
        <v>7.1760256967534382E-25</v>
      </c>
      <c r="T49">
        <f t="shared" si="21"/>
        <v>7.1760256967534382E-25</v>
      </c>
      <c r="U49">
        <f t="shared" si="21"/>
        <v>7.1760256967534382E-25</v>
      </c>
      <c r="V49">
        <f t="shared" si="21"/>
        <v>7.1760256967534382E-25</v>
      </c>
      <c r="W49">
        <f t="shared" si="21"/>
        <v>7.1760256967534382E-25</v>
      </c>
      <c r="X49">
        <f t="shared" si="21"/>
        <v>7.1760256967534382E-25</v>
      </c>
      <c r="Y49">
        <f t="shared" si="22"/>
        <v>0</v>
      </c>
      <c r="Z49">
        <f t="shared" si="22"/>
        <v>0</v>
      </c>
      <c r="AA49">
        <f t="shared" si="22"/>
        <v>0</v>
      </c>
      <c r="AB49">
        <f t="shared" si="22"/>
        <v>0</v>
      </c>
      <c r="AC49">
        <f t="shared" si="22"/>
        <v>0</v>
      </c>
      <c r="AD49">
        <f t="shared" si="22"/>
        <v>0</v>
      </c>
      <c r="AE49">
        <f t="shared" si="22"/>
        <v>0</v>
      </c>
      <c r="AF49">
        <f t="shared" si="22"/>
        <v>0</v>
      </c>
      <c r="AG49">
        <f t="shared" si="22"/>
        <v>0</v>
      </c>
      <c r="AH49">
        <f t="shared" si="22"/>
        <v>0</v>
      </c>
      <c r="AI49">
        <f t="shared" si="23"/>
        <v>0</v>
      </c>
      <c r="AJ49">
        <f t="shared" si="23"/>
        <v>0</v>
      </c>
      <c r="AK49">
        <f t="shared" si="23"/>
        <v>0</v>
      </c>
      <c r="AL49">
        <f t="shared" si="23"/>
        <v>0</v>
      </c>
      <c r="AM49">
        <f t="shared" si="23"/>
        <v>0</v>
      </c>
      <c r="AN49">
        <f t="shared" si="23"/>
        <v>0</v>
      </c>
      <c r="AO49">
        <f t="shared" si="23"/>
        <v>0</v>
      </c>
      <c r="AP49">
        <f t="shared" si="23"/>
        <v>0</v>
      </c>
      <c r="AQ49">
        <f t="shared" si="23"/>
        <v>0</v>
      </c>
      <c r="AR49">
        <f t="shared" si="23"/>
        <v>0</v>
      </c>
      <c r="AS49">
        <f t="shared" si="24"/>
        <v>0</v>
      </c>
      <c r="AT49">
        <f t="shared" si="24"/>
        <v>0</v>
      </c>
      <c r="AU49">
        <f t="shared" si="24"/>
        <v>0</v>
      </c>
      <c r="AV49">
        <f t="shared" si="24"/>
        <v>0</v>
      </c>
      <c r="AW49">
        <f t="shared" si="24"/>
        <v>0</v>
      </c>
      <c r="AX49">
        <f t="shared" si="24"/>
        <v>0</v>
      </c>
      <c r="AY49">
        <f t="shared" si="24"/>
        <v>0</v>
      </c>
      <c r="AZ49">
        <f t="shared" si="24"/>
        <v>0</v>
      </c>
      <c r="BA49">
        <f t="shared" si="24"/>
        <v>0</v>
      </c>
      <c r="BB49">
        <f t="shared" si="24"/>
        <v>0</v>
      </c>
    </row>
    <row r="50" spans="2:54">
      <c r="B50">
        <f t="shared" si="9"/>
        <v>40</v>
      </c>
      <c r="C50">
        <f t="shared" si="25"/>
        <v>5.759704835552035E-26</v>
      </c>
      <c r="D50">
        <f t="shared" si="26"/>
        <v>5.7597048245745662E-26</v>
      </c>
      <c r="E50">
        <f t="shared" ref="E50:N60" si="27">_xlfn.BINOM.DIST($B50,Size,E$8,FALSE)</f>
        <v>5.759704835552035E-26</v>
      </c>
      <c r="F50">
        <f t="shared" si="27"/>
        <v>5.759704835552035E-26</v>
      </c>
      <c r="G50">
        <f t="shared" si="27"/>
        <v>5.759704835552035E-26</v>
      </c>
      <c r="H50">
        <f t="shared" si="27"/>
        <v>5.759704835552035E-26</v>
      </c>
      <c r="I50">
        <f t="shared" si="27"/>
        <v>5.759704835552035E-26</v>
      </c>
      <c r="J50">
        <f t="shared" si="27"/>
        <v>5.759704835552035E-26</v>
      </c>
      <c r="K50">
        <f t="shared" si="27"/>
        <v>5.759704835552035E-26</v>
      </c>
      <c r="L50">
        <f t="shared" si="27"/>
        <v>5.759704835552035E-26</v>
      </c>
      <c r="M50">
        <f t="shared" si="27"/>
        <v>5.759704835552035E-26</v>
      </c>
      <c r="N50">
        <f t="shared" si="27"/>
        <v>5.759704835552035E-26</v>
      </c>
      <c r="O50">
        <f t="shared" ref="O50:X60" si="28">_xlfn.BINOM.DIST($B50,Size,O$8,FALSE)</f>
        <v>5.759704835552035E-26</v>
      </c>
      <c r="P50">
        <f t="shared" si="28"/>
        <v>5.759704835552035E-26</v>
      </c>
      <c r="Q50">
        <f t="shared" si="28"/>
        <v>5.759704835552035E-26</v>
      </c>
      <c r="R50">
        <f t="shared" si="28"/>
        <v>5.759704835552035E-26</v>
      </c>
      <c r="S50">
        <f t="shared" si="28"/>
        <v>5.759704835552035E-26</v>
      </c>
      <c r="T50">
        <f t="shared" si="28"/>
        <v>5.759704835552035E-26</v>
      </c>
      <c r="U50">
        <f t="shared" si="28"/>
        <v>5.759704835552035E-26</v>
      </c>
      <c r="V50">
        <f t="shared" si="28"/>
        <v>5.759704835552035E-26</v>
      </c>
      <c r="W50">
        <f t="shared" si="28"/>
        <v>5.759704835552035E-26</v>
      </c>
      <c r="X50">
        <f t="shared" si="28"/>
        <v>5.759704835552035E-26</v>
      </c>
      <c r="Y50">
        <f t="shared" ref="Y50:AH60" si="29">_xlfn.BINOM.DIST($B50,Size,Y$8,FALSE)</f>
        <v>0</v>
      </c>
      <c r="Z50">
        <f t="shared" si="29"/>
        <v>0</v>
      </c>
      <c r="AA50">
        <f t="shared" si="29"/>
        <v>0</v>
      </c>
      <c r="AB50">
        <f t="shared" si="29"/>
        <v>0</v>
      </c>
      <c r="AC50">
        <f t="shared" si="29"/>
        <v>0</v>
      </c>
      <c r="AD50">
        <f t="shared" si="29"/>
        <v>0</v>
      </c>
      <c r="AE50">
        <f t="shared" si="29"/>
        <v>0</v>
      </c>
      <c r="AF50">
        <f t="shared" si="29"/>
        <v>0</v>
      </c>
      <c r="AG50">
        <f t="shared" si="29"/>
        <v>0</v>
      </c>
      <c r="AH50">
        <f t="shared" si="29"/>
        <v>0</v>
      </c>
      <c r="AI50">
        <f t="shared" ref="AI50:AR60" si="30">_xlfn.BINOM.DIST($B50,Size,AI$8,FALSE)</f>
        <v>0</v>
      </c>
      <c r="AJ50">
        <f t="shared" si="30"/>
        <v>0</v>
      </c>
      <c r="AK50">
        <f t="shared" si="30"/>
        <v>0</v>
      </c>
      <c r="AL50">
        <f t="shared" si="30"/>
        <v>0</v>
      </c>
      <c r="AM50">
        <f t="shared" si="30"/>
        <v>0</v>
      </c>
      <c r="AN50">
        <f t="shared" si="30"/>
        <v>0</v>
      </c>
      <c r="AO50">
        <f t="shared" si="30"/>
        <v>0</v>
      </c>
      <c r="AP50">
        <f t="shared" si="30"/>
        <v>0</v>
      </c>
      <c r="AQ50">
        <f t="shared" si="30"/>
        <v>0</v>
      </c>
      <c r="AR50">
        <f t="shared" si="30"/>
        <v>0</v>
      </c>
      <c r="AS50">
        <f t="shared" ref="AS50:BB60" si="31">_xlfn.BINOM.DIST($B50,Size,AS$8,FALSE)</f>
        <v>0</v>
      </c>
      <c r="AT50">
        <f t="shared" si="31"/>
        <v>0</v>
      </c>
      <c r="AU50">
        <f t="shared" si="31"/>
        <v>0</v>
      </c>
      <c r="AV50">
        <f t="shared" si="31"/>
        <v>0</v>
      </c>
      <c r="AW50">
        <f t="shared" si="31"/>
        <v>0</v>
      </c>
      <c r="AX50">
        <f t="shared" si="31"/>
        <v>0</v>
      </c>
      <c r="AY50">
        <f t="shared" si="31"/>
        <v>0</v>
      </c>
      <c r="AZ50">
        <f t="shared" si="31"/>
        <v>0</v>
      </c>
      <c r="BA50">
        <f t="shared" si="31"/>
        <v>0</v>
      </c>
      <c r="BB50">
        <f t="shared" si="31"/>
        <v>0</v>
      </c>
    </row>
    <row r="51" spans="2:54">
      <c r="B51">
        <f t="shared" si="9"/>
        <v>41</v>
      </c>
      <c r="C51">
        <f t="shared" si="25"/>
        <v>4.4362296551106612E-27</v>
      </c>
      <c r="D51">
        <f t="shared" si="26"/>
        <v>4.4362296466556146E-27</v>
      </c>
      <c r="E51">
        <f t="shared" si="27"/>
        <v>4.4362296551106612E-27</v>
      </c>
      <c r="F51">
        <f t="shared" si="27"/>
        <v>4.4362296551106612E-27</v>
      </c>
      <c r="G51">
        <f t="shared" si="27"/>
        <v>4.4362296551106612E-27</v>
      </c>
      <c r="H51">
        <f t="shared" si="27"/>
        <v>4.4362296551106612E-27</v>
      </c>
      <c r="I51">
        <f t="shared" si="27"/>
        <v>4.4362296551106612E-27</v>
      </c>
      <c r="J51">
        <f t="shared" si="27"/>
        <v>4.4362296551106612E-27</v>
      </c>
      <c r="K51">
        <f t="shared" si="27"/>
        <v>4.4362296551106612E-27</v>
      </c>
      <c r="L51">
        <f t="shared" si="27"/>
        <v>4.4362296551106612E-27</v>
      </c>
      <c r="M51">
        <f t="shared" si="27"/>
        <v>4.4362296551106612E-27</v>
      </c>
      <c r="N51">
        <f t="shared" si="27"/>
        <v>4.4362296551106612E-27</v>
      </c>
      <c r="O51">
        <f t="shared" si="28"/>
        <v>4.4362296551106612E-27</v>
      </c>
      <c r="P51">
        <f t="shared" si="28"/>
        <v>4.4362296551106612E-27</v>
      </c>
      <c r="Q51">
        <f t="shared" si="28"/>
        <v>4.4362296551106612E-27</v>
      </c>
      <c r="R51">
        <f t="shared" si="28"/>
        <v>4.4362296551106612E-27</v>
      </c>
      <c r="S51">
        <f t="shared" si="28"/>
        <v>4.4362296551106612E-27</v>
      </c>
      <c r="T51">
        <f t="shared" si="28"/>
        <v>4.4362296551106612E-27</v>
      </c>
      <c r="U51">
        <f t="shared" si="28"/>
        <v>4.4362296551106612E-27</v>
      </c>
      <c r="V51">
        <f t="shared" si="28"/>
        <v>4.4362296551106612E-27</v>
      </c>
      <c r="W51">
        <f t="shared" si="28"/>
        <v>4.4362296551106612E-27</v>
      </c>
      <c r="X51">
        <f t="shared" si="28"/>
        <v>4.4362296551106612E-27</v>
      </c>
      <c r="Y51">
        <f t="shared" si="29"/>
        <v>0</v>
      </c>
      <c r="Z51">
        <f t="shared" si="29"/>
        <v>0</v>
      </c>
      <c r="AA51">
        <f t="shared" si="29"/>
        <v>0</v>
      </c>
      <c r="AB51">
        <f t="shared" si="29"/>
        <v>0</v>
      </c>
      <c r="AC51">
        <f t="shared" si="29"/>
        <v>0</v>
      </c>
      <c r="AD51">
        <f t="shared" si="29"/>
        <v>0</v>
      </c>
      <c r="AE51">
        <f t="shared" si="29"/>
        <v>0</v>
      </c>
      <c r="AF51">
        <f t="shared" si="29"/>
        <v>0</v>
      </c>
      <c r="AG51">
        <f t="shared" si="29"/>
        <v>0</v>
      </c>
      <c r="AH51">
        <f t="shared" si="29"/>
        <v>0</v>
      </c>
      <c r="AI51">
        <f t="shared" si="30"/>
        <v>0</v>
      </c>
      <c r="AJ51">
        <f t="shared" si="30"/>
        <v>0</v>
      </c>
      <c r="AK51">
        <f t="shared" si="30"/>
        <v>0</v>
      </c>
      <c r="AL51">
        <f t="shared" si="30"/>
        <v>0</v>
      </c>
      <c r="AM51">
        <f t="shared" si="30"/>
        <v>0</v>
      </c>
      <c r="AN51">
        <f t="shared" si="30"/>
        <v>0</v>
      </c>
      <c r="AO51">
        <f t="shared" si="30"/>
        <v>0</v>
      </c>
      <c r="AP51">
        <f t="shared" si="30"/>
        <v>0</v>
      </c>
      <c r="AQ51">
        <f t="shared" si="30"/>
        <v>0</v>
      </c>
      <c r="AR51">
        <f t="shared" si="30"/>
        <v>0</v>
      </c>
      <c r="AS51">
        <f t="shared" si="31"/>
        <v>0</v>
      </c>
      <c r="AT51">
        <f t="shared" si="31"/>
        <v>0</v>
      </c>
      <c r="AU51">
        <f t="shared" si="31"/>
        <v>0</v>
      </c>
      <c r="AV51">
        <f t="shared" si="31"/>
        <v>0</v>
      </c>
      <c r="AW51">
        <f t="shared" si="31"/>
        <v>0</v>
      </c>
      <c r="AX51">
        <f t="shared" si="31"/>
        <v>0</v>
      </c>
      <c r="AY51">
        <f t="shared" si="31"/>
        <v>0</v>
      </c>
      <c r="AZ51">
        <f t="shared" si="31"/>
        <v>0</v>
      </c>
      <c r="BA51">
        <f t="shared" si="31"/>
        <v>0</v>
      </c>
      <c r="BB51">
        <f t="shared" si="31"/>
        <v>0</v>
      </c>
    </row>
    <row r="52" spans="2:54">
      <c r="B52">
        <f t="shared" si="9"/>
        <v>42</v>
      </c>
      <c r="C52">
        <f t="shared" si="25"/>
        <v>3.2799191685655315E-28</v>
      </c>
      <c r="D52">
        <f t="shared" si="26"/>
        <v>3.2799191623143072E-28</v>
      </c>
      <c r="E52">
        <f t="shared" si="27"/>
        <v>3.2799191685655315E-28</v>
      </c>
      <c r="F52">
        <f t="shared" si="27"/>
        <v>3.2799191685655315E-28</v>
      </c>
      <c r="G52">
        <f t="shared" si="27"/>
        <v>3.2799191685655315E-28</v>
      </c>
      <c r="H52">
        <f t="shared" si="27"/>
        <v>3.2799191685655315E-28</v>
      </c>
      <c r="I52">
        <f t="shared" si="27"/>
        <v>3.2799191685655315E-28</v>
      </c>
      <c r="J52">
        <f t="shared" si="27"/>
        <v>3.2799191685655315E-28</v>
      </c>
      <c r="K52">
        <f t="shared" si="27"/>
        <v>3.2799191685655315E-28</v>
      </c>
      <c r="L52">
        <f t="shared" si="27"/>
        <v>3.2799191685655315E-28</v>
      </c>
      <c r="M52">
        <f t="shared" si="27"/>
        <v>3.2799191685655315E-28</v>
      </c>
      <c r="N52">
        <f t="shared" si="27"/>
        <v>3.2799191685655315E-28</v>
      </c>
      <c r="O52">
        <f t="shared" si="28"/>
        <v>3.2799191685655315E-28</v>
      </c>
      <c r="P52">
        <f t="shared" si="28"/>
        <v>3.2799191685655315E-28</v>
      </c>
      <c r="Q52">
        <f t="shared" si="28"/>
        <v>3.2799191685655315E-28</v>
      </c>
      <c r="R52">
        <f t="shared" si="28"/>
        <v>3.2799191685655315E-28</v>
      </c>
      <c r="S52">
        <f t="shared" si="28"/>
        <v>3.2799191685655315E-28</v>
      </c>
      <c r="T52">
        <f t="shared" si="28"/>
        <v>3.2799191685655315E-28</v>
      </c>
      <c r="U52">
        <f t="shared" si="28"/>
        <v>3.2799191685655315E-28</v>
      </c>
      <c r="V52">
        <f t="shared" si="28"/>
        <v>3.2799191685655315E-28</v>
      </c>
      <c r="W52">
        <f t="shared" si="28"/>
        <v>3.2799191685655315E-28</v>
      </c>
      <c r="X52">
        <f t="shared" si="28"/>
        <v>3.2799191685655315E-28</v>
      </c>
      <c r="Y52">
        <f t="shared" si="29"/>
        <v>0</v>
      </c>
      <c r="Z52">
        <f t="shared" si="29"/>
        <v>0</v>
      </c>
      <c r="AA52">
        <f t="shared" si="29"/>
        <v>0</v>
      </c>
      <c r="AB52">
        <f t="shared" si="29"/>
        <v>0</v>
      </c>
      <c r="AC52">
        <f t="shared" si="29"/>
        <v>0</v>
      </c>
      <c r="AD52">
        <f t="shared" si="29"/>
        <v>0</v>
      </c>
      <c r="AE52">
        <f t="shared" si="29"/>
        <v>0</v>
      </c>
      <c r="AF52">
        <f t="shared" si="29"/>
        <v>0</v>
      </c>
      <c r="AG52">
        <f t="shared" si="29"/>
        <v>0</v>
      </c>
      <c r="AH52">
        <f t="shared" si="29"/>
        <v>0</v>
      </c>
      <c r="AI52">
        <f t="shared" si="30"/>
        <v>0</v>
      </c>
      <c r="AJ52">
        <f t="shared" si="30"/>
        <v>0</v>
      </c>
      <c r="AK52">
        <f t="shared" si="30"/>
        <v>0</v>
      </c>
      <c r="AL52">
        <f t="shared" si="30"/>
        <v>0</v>
      </c>
      <c r="AM52">
        <f t="shared" si="30"/>
        <v>0</v>
      </c>
      <c r="AN52">
        <f t="shared" si="30"/>
        <v>0</v>
      </c>
      <c r="AO52">
        <f t="shared" si="30"/>
        <v>0</v>
      </c>
      <c r="AP52">
        <f t="shared" si="30"/>
        <v>0</v>
      </c>
      <c r="AQ52">
        <f t="shared" si="30"/>
        <v>0</v>
      </c>
      <c r="AR52">
        <f t="shared" si="30"/>
        <v>0</v>
      </c>
      <c r="AS52">
        <f t="shared" si="31"/>
        <v>0</v>
      </c>
      <c r="AT52">
        <f t="shared" si="31"/>
        <v>0</v>
      </c>
      <c r="AU52">
        <f t="shared" si="31"/>
        <v>0</v>
      </c>
      <c r="AV52">
        <f t="shared" si="31"/>
        <v>0</v>
      </c>
      <c r="AW52">
        <f t="shared" si="31"/>
        <v>0</v>
      </c>
      <c r="AX52">
        <f t="shared" si="31"/>
        <v>0</v>
      </c>
      <c r="AY52">
        <f t="shared" si="31"/>
        <v>0</v>
      </c>
      <c r="AZ52">
        <f t="shared" si="31"/>
        <v>0</v>
      </c>
      <c r="BA52">
        <f t="shared" si="31"/>
        <v>0</v>
      </c>
      <c r="BB52">
        <f t="shared" si="31"/>
        <v>0</v>
      </c>
    </row>
    <row r="53" spans="2:54">
      <c r="B53">
        <f t="shared" si="9"/>
        <v>43</v>
      </c>
      <c r="C53">
        <f t="shared" si="25"/>
        <v>2.3284615884553728E-29</v>
      </c>
      <c r="D53">
        <f t="shared" si="26"/>
        <v>2.3284615840175391E-29</v>
      </c>
      <c r="E53">
        <f t="shared" si="27"/>
        <v>2.3284615884553728E-29</v>
      </c>
      <c r="F53">
        <f t="shared" si="27"/>
        <v>2.3284615884553728E-29</v>
      </c>
      <c r="G53">
        <f t="shared" si="27"/>
        <v>2.3284615884553728E-29</v>
      </c>
      <c r="H53">
        <f t="shared" si="27"/>
        <v>2.3284615884553728E-29</v>
      </c>
      <c r="I53">
        <f t="shared" si="27"/>
        <v>2.3284615884553728E-29</v>
      </c>
      <c r="J53">
        <f t="shared" si="27"/>
        <v>2.3284615884553728E-29</v>
      </c>
      <c r="K53">
        <f t="shared" si="27"/>
        <v>2.3284615884553728E-29</v>
      </c>
      <c r="L53">
        <f t="shared" si="27"/>
        <v>2.3284615884553728E-29</v>
      </c>
      <c r="M53">
        <f t="shared" si="27"/>
        <v>2.3284615884553728E-29</v>
      </c>
      <c r="N53">
        <f t="shared" si="27"/>
        <v>2.3284615884553728E-29</v>
      </c>
      <c r="O53">
        <f t="shared" si="28"/>
        <v>2.3284615884553728E-29</v>
      </c>
      <c r="P53">
        <f t="shared" si="28"/>
        <v>2.3284615884553728E-29</v>
      </c>
      <c r="Q53">
        <f t="shared" si="28"/>
        <v>2.3284615884553728E-29</v>
      </c>
      <c r="R53">
        <f t="shared" si="28"/>
        <v>2.3284615884553728E-29</v>
      </c>
      <c r="S53">
        <f t="shared" si="28"/>
        <v>2.3284615884553728E-29</v>
      </c>
      <c r="T53">
        <f t="shared" si="28"/>
        <v>2.3284615884553728E-29</v>
      </c>
      <c r="U53">
        <f t="shared" si="28"/>
        <v>2.3284615884553728E-29</v>
      </c>
      <c r="V53">
        <f t="shared" si="28"/>
        <v>2.3284615884553728E-29</v>
      </c>
      <c r="W53">
        <f t="shared" si="28"/>
        <v>2.3284615884553728E-29</v>
      </c>
      <c r="X53">
        <f t="shared" si="28"/>
        <v>2.3284615884553728E-29</v>
      </c>
      <c r="Y53">
        <f t="shared" si="29"/>
        <v>0</v>
      </c>
      <c r="Z53">
        <f t="shared" si="29"/>
        <v>0</v>
      </c>
      <c r="AA53">
        <f t="shared" si="29"/>
        <v>0</v>
      </c>
      <c r="AB53">
        <f t="shared" si="29"/>
        <v>0</v>
      </c>
      <c r="AC53">
        <f t="shared" si="29"/>
        <v>0</v>
      </c>
      <c r="AD53">
        <f t="shared" si="29"/>
        <v>0</v>
      </c>
      <c r="AE53">
        <f t="shared" si="29"/>
        <v>0</v>
      </c>
      <c r="AF53">
        <f t="shared" si="29"/>
        <v>0</v>
      </c>
      <c r="AG53">
        <f t="shared" si="29"/>
        <v>0</v>
      </c>
      <c r="AH53">
        <f t="shared" si="29"/>
        <v>0</v>
      </c>
      <c r="AI53">
        <f t="shared" si="30"/>
        <v>0</v>
      </c>
      <c r="AJ53">
        <f t="shared" si="30"/>
        <v>0</v>
      </c>
      <c r="AK53">
        <f t="shared" si="30"/>
        <v>0</v>
      </c>
      <c r="AL53">
        <f t="shared" si="30"/>
        <v>0</v>
      </c>
      <c r="AM53">
        <f t="shared" si="30"/>
        <v>0</v>
      </c>
      <c r="AN53">
        <f t="shared" si="30"/>
        <v>0</v>
      </c>
      <c r="AO53">
        <f t="shared" si="30"/>
        <v>0</v>
      </c>
      <c r="AP53">
        <f t="shared" si="30"/>
        <v>0</v>
      </c>
      <c r="AQ53">
        <f t="shared" si="30"/>
        <v>0</v>
      </c>
      <c r="AR53">
        <f t="shared" si="30"/>
        <v>0</v>
      </c>
      <c r="AS53">
        <f t="shared" si="31"/>
        <v>0</v>
      </c>
      <c r="AT53">
        <f t="shared" si="31"/>
        <v>0</v>
      </c>
      <c r="AU53">
        <f t="shared" si="31"/>
        <v>0</v>
      </c>
      <c r="AV53">
        <f t="shared" si="31"/>
        <v>0</v>
      </c>
      <c r="AW53">
        <f t="shared" si="31"/>
        <v>0</v>
      </c>
      <c r="AX53">
        <f t="shared" si="31"/>
        <v>0</v>
      </c>
      <c r="AY53">
        <f t="shared" si="31"/>
        <v>0</v>
      </c>
      <c r="AZ53">
        <f t="shared" si="31"/>
        <v>0</v>
      </c>
      <c r="BA53">
        <f t="shared" si="31"/>
        <v>0</v>
      </c>
      <c r="BB53">
        <f t="shared" si="31"/>
        <v>0</v>
      </c>
    </row>
    <row r="54" spans="2:54">
      <c r="B54">
        <f t="shared" si="9"/>
        <v>44</v>
      </c>
      <c r="C54">
        <f t="shared" si="25"/>
        <v>1.5875874466740826E-30</v>
      </c>
      <c r="D54">
        <f t="shared" si="26"/>
        <v>1.587587443648332E-30</v>
      </c>
      <c r="E54">
        <f t="shared" si="27"/>
        <v>1.5875874466741278E-30</v>
      </c>
      <c r="F54">
        <f t="shared" si="27"/>
        <v>1.5875874466741278E-30</v>
      </c>
      <c r="G54">
        <f t="shared" si="27"/>
        <v>1.5875874466741278E-30</v>
      </c>
      <c r="H54">
        <f t="shared" si="27"/>
        <v>1.5875874466741278E-30</v>
      </c>
      <c r="I54">
        <f t="shared" si="27"/>
        <v>1.5875874466741278E-30</v>
      </c>
      <c r="J54">
        <f t="shared" si="27"/>
        <v>1.5875874466741278E-30</v>
      </c>
      <c r="K54">
        <f t="shared" si="27"/>
        <v>1.5875874466741278E-30</v>
      </c>
      <c r="L54">
        <f t="shared" si="27"/>
        <v>1.5875874466741278E-30</v>
      </c>
      <c r="M54">
        <f t="shared" si="27"/>
        <v>1.5875874466741278E-30</v>
      </c>
      <c r="N54">
        <f t="shared" si="27"/>
        <v>1.5875874466741278E-30</v>
      </c>
      <c r="O54">
        <f t="shared" si="28"/>
        <v>1.5875874466741278E-30</v>
      </c>
      <c r="P54">
        <f t="shared" si="28"/>
        <v>1.5875874466741278E-30</v>
      </c>
      <c r="Q54">
        <f t="shared" si="28"/>
        <v>1.5875874466741278E-30</v>
      </c>
      <c r="R54">
        <f t="shared" si="28"/>
        <v>1.5875874466741278E-30</v>
      </c>
      <c r="S54">
        <f t="shared" si="28"/>
        <v>1.5875874466741278E-30</v>
      </c>
      <c r="T54">
        <f t="shared" si="28"/>
        <v>1.5875874466741278E-30</v>
      </c>
      <c r="U54">
        <f t="shared" si="28"/>
        <v>1.5875874466741278E-30</v>
      </c>
      <c r="V54">
        <f t="shared" si="28"/>
        <v>1.5875874466741278E-30</v>
      </c>
      <c r="W54">
        <f t="shared" si="28"/>
        <v>1.5875874466741278E-30</v>
      </c>
      <c r="X54">
        <f t="shared" si="28"/>
        <v>1.5875874466741278E-30</v>
      </c>
      <c r="Y54">
        <f t="shared" si="29"/>
        <v>0</v>
      </c>
      <c r="Z54">
        <f t="shared" si="29"/>
        <v>0</v>
      </c>
      <c r="AA54">
        <f t="shared" si="29"/>
        <v>0</v>
      </c>
      <c r="AB54">
        <f t="shared" si="29"/>
        <v>0</v>
      </c>
      <c r="AC54">
        <f t="shared" si="29"/>
        <v>0</v>
      </c>
      <c r="AD54">
        <f t="shared" si="29"/>
        <v>0</v>
      </c>
      <c r="AE54">
        <f t="shared" si="29"/>
        <v>0</v>
      </c>
      <c r="AF54">
        <f t="shared" si="29"/>
        <v>0</v>
      </c>
      <c r="AG54">
        <f t="shared" si="29"/>
        <v>0</v>
      </c>
      <c r="AH54">
        <f t="shared" si="29"/>
        <v>0</v>
      </c>
      <c r="AI54">
        <f t="shared" si="30"/>
        <v>0</v>
      </c>
      <c r="AJ54">
        <f t="shared" si="30"/>
        <v>0</v>
      </c>
      <c r="AK54">
        <f t="shared" si="30"/>
        <v>0</v>
      </c>
      <c r="AL54">
        <f t="shared" si="30"/>
        <v>0</v>
      </c>
      <c r="AM54">
        <f t="shared" si="30"/>
        <v>0</v>
      </c>
      <c r="AN54">
        <f t="shared" si="30"/>
        <v>0</v>
      </c>
      <c r="AO54">
        <f t="shared" si="30"/>
        <v>0</v>
      </c>
      <c r="AP54">
        <f t="shared" si="30"/>
        <v>0</v>
      </c>
      <c r="AQ54">
        <f t="shared" si="30"/>
        <v>0</v>
      </c>
      <c r="AR54">
        <f t="shared" si="30"/>
        <v>0</v>
      </c>
      <c r="AS54">
        <f t="shared" si="31"/>
        <v>0</v>
      </c>
      <c r="AT54">
        <f t="shared" si="31"/>
        <v>0</v>
      </c>
      <c r="AU54">
        <f t="shared" si="31"/>
        <v>0</v>
      </c>
      <c r="AV54">
        <f t="shared" si="31"/>
        <v>0</v>
      </c>
      <c r="AW54">
        <f t="shared" si="31"/>
        <v>0</v>
      </c>
      <c r="AX54">
        <f t="shared" si="31"/>
        <v>0</v>
      </c>
      <c r="AY54">
        <f t="shared" si="31"/>
        <v>0</v>
      </c>
      <c r="AZ54">
        <f t="shared" si="31"/>
        <v>0</v>
      </c>
      <c r="BA54">
        <f t="shared" si="31"/>
        <v>0</v>
      </c>
      <c r="BB54">
        <f t="shared" si="31"/>
        <v>0</v>
      </c>
    </row>
    <row r="55" spans="2:54">
      <c r="B55">
        <f t="shared" si="9"/>
        <v>45</v>
      </c>
      <c r="C55">
        <f t="shared" si="25"/>
        <v>1.039823356885963E-31</v>
      </c>
      <c r="D55">
        <f t="shared" si="26"/>
        <v>1.0398233549041696E-31</v>
      </c>
      <c r="E55">
        <f t="shared" si="27"/>
        <v>1.0398233568859777E-31</v>
      </c>
      <c r="F55">
        <f t="shared" si="27"/>
        <v>1.0398233568859777E-31</v>
      </c>
      <c r="G55">
        <f t="shared" si="27"/>
        <v>1.0398233568859777E-31</v>
      </c>
      <c r="H55">
        <f t="shared" si="27"/>
        <v>1.0398233568859777E-31</v>
      </c>
      <c r="I55">
        <f t="shared" si="27"/>
        <v>1.0398233568859777E-31</v>
      </c>
      <c r="J55">
        <f t="shared" si="27"/>
        <v>1.0398233568859777E-31</v>
      </c>
      <c r="K55">
        <f t="shared" si="27"/>
        <v>1.0398233568859777E-31</v>
      </c>
      <c r="L55">
        <f t="shared" si="27"/>
        <v>1.0398233568859777E-31</v>
      </c>
      <c r="M55">
        <f t="shared" si="27"/>
        <v>1.0398233568859777E-31</v>
      </c>
      <c r="N55">
        <f t="shared" si="27"/>
        <v>1.0398233568859777E-31</v>
      </c>
      <c r="O55">
        <f t="shared" si="28"/>
        <v>1.0398233568859777E-31</v>
      </c>
      <c r="P55">
        <f t="shared" si="28"/>
        <v>1.0398233568859777E-31</v>
      </c>
      <c r="Q55">
        <f t="shared" si="28"/>
        <v>1.0398233568859777E-31</v>
      </c>
      <c r="R55">
        <f t="shared" si="28"/>
        <v>1.0398233568859777E-31</v>
      </c>
      <c r="S55">
        <f t="shared" si="28"/>
        <v>1.0398233568859777E-31</v>
      </c>
      <c r="T55">
        <f t="shared" si="28"/>
        <v>1.0398233568859777E-31</v>
      </c>
      <c r="U55">
        <f t="shared" si="28"/>
        <v>1.0398233568859777E-31</v>
      </c>
      <c r="V55">
        <f t="shared" si="28"/>
        <v>1.0398233568859777E-31</v>
      </c>
      <c r="W55">
        <f t="shared" si="28"/>
        <v>1.0398233568859777E-31</v>
      </c>
      <c r="X55">
        <f t="shared" si="28"/>
        <v>1.0398233568859777E-31</v>
      </c>
      <c r="Y55">
        <f t="shared" si="29"/>
        <v>0</v>
      </c>
      <c r="Z55">
        <f t="shared" si="29"/>
        <v>0</v>
      </c>
      <c r="AA55">
        <f t="shared" si="29"/>
        <v>0</v>
      </c>
      <c r="AB55">
        <f t="shared" si="29"/>
        <v>0</v>
      </c>
      <c r="AC55">
        <f t="shared" si="29"/>
        <v>0</v>
      </c>
      <c r="AD55">
        <f t="shared" si="29"/>
        <v>0</v>
      </c>
      <c r="AE55">
        <f t="shared" si="29"/>
        <v>0</v>
      </c>
      <c r="AF55">
        <f t="shared" si="29"/>
        <v>0</v>
      </c>
      <c r="AG55">
        <f t="shared" si="29"/>
        <v>0</v>
      </c>
      <c r="AH55">
        <f t="shared" si="29"/>
        <v>0</v>
      </c>
      <c r="AI55">
        <f t="shared" si="30"/>
        <v>0</v>
      </c>
      <c r="AJ55">
        <f t="shared" si="30"/>
        <v>0</v>
      </c>
      <c r="AK55">
        <f t="shared" si="30"/>
        <v>0</v>
      </c>
      <c r="AL55">
        <f t="shared" si="30"/>
        <v>0</v>
      </c>
      <c r="AM55">
        <f t="shared" si="30"/>
        <v>0</v>
      </c>
      <c r="AN55">
        <f t="shared" si="30"/>
        <v>0</v>
      </c>
      <c r="AO55">
        <f t="shared" si="30"/>
        <v>0</v>
      </c>
      <c r="AP55">
        <f t="shared" si="30"/>
        <v>0</v>
      </c>
      <c r="AQ55">
        <f t="shared" si="30"/>
        <v>0</v>
      </c>
      <c r="AR55">
        <f t="shared" si="30"/>
        <v>0</v>
      </c>
      <c r="AS55">
        <f t="shared" si="31"/>
        <v>0</v>
      </c>
      <c r="AT55">
        <f t="shared" si="31"/>
        <v>0</v>
      </c>
      <c r="AU55">
        <f t="shared" si="31"/>
        <v>0</v>
      </c>
      <c r="AV55">
        <f t="shared" si="31"/>
        <v>0</v>
      </c>
      <c r="AW55">
        <f t="shared" si="31"/>
        <v>0</v>
      </c>
      <c r="AX55">
        <f t="shared" si="31"/>
        <v>0</v>
      </c>
      <c r="AY55">
        <f t="shared" si="31"/>
        <v>0</v>
      </c>
      <c r="AZ55">
        <f t="shared" si="31"/>
        <v>0</v>
      </c>
      <c r="BA55">
        <f t="shared" si="31"/>
        <v>0</v>
      </c>
      <c r="BB55">
        <f t="shared" si="31"/>
        <v>0</v>
      </c>
    </row>
    <row r="56" spans="2:54">
      <c r="B56">
        <f t="shared" si="9"/>
        <v>46</v>
      </c>
      <c r="C56">
        <f t="shared" si="25"/>
        <v>6.5435108270855664E-33</v>
      </c>
      <c r="D56">
        <f t="shared" si="26"/>
        <v>6.5435108146142358E-33</v>
      </c>
      <c r="E56">
        <f t="shared" si="27"/>
        <v>6.5435108270855664E-33</v>
      </c>
      <c r="F56">
        <f t="shared" si="27"/>
        <v>6.5435108270855664E-33</v>
      </c>
      <c r="G56">
        <f t="shared" si="27"/>
        <v>6.5435108270855664E-33</v>
      </c>
      <c r="H56">
        <f t="shared" si="27"/>
        <v>6.5435108270855664E-33</v>
      </c>
      <c r="I56">
        <f t="shared" si="27"/>
        <v>6.5435108270855664E-33</v>
      </c>
      <c r="J56">
        <f t="shared" si="27"/>
        <v>6.5435108270855664E-33</v>
      </c>
      <c r="K56">
        <f t="shared" si="27"/>
        <v>6.5435108270855664E-33</v>
      </c>
      <c r="L56">
        <f t="shared" si="27"/>
        <v>6.5435108270855664E-33</v>
      </c>
      <c r="M56">
        <f t="shared" si="27"/>
        <v>6.5435108270855664E-33</v>
      </c>
      <c r="N56">
        <f t="shared" si="27"/>
        <v>6.5435108270855664E-33</v>
      </c>
      <c r="O56">
        <f t="shared" si="28"/>
        <v>6.5435108270855664E-33</v>
      </c>
      <c r="P56">
        <f t="shared" si="28"/>
        <v>6.5435108270855664E-33</v>
      </c>
      <c r="Q56">
        <f t="shared" si="28"/>
        <v>6.5435108270855664E-33</v>
      </c>
      <c r="R56">
        <f t="shared" si="28"/>
        <v>6.5435108270855664E-33</v>
      </c>
      <c r="S56">
        <f t="shared" si="28"/>
        <v>6.5435108270855664E-33</v>
      </c>
      <c r="T56">
        <f t="shared" si="28"/>
        <v>6.5435108270855664E-33</v>
      </c>
      <c r="U56">
        <f t="shared" si="28"/>
        <v>6.5435108270855664E-33</v>
      </c>
      <c r="V56">
        <f t="shared" si="28"/>
        <v>6.5435108270855664E-33</v>
      </c>
      <c r="W56">
        <f t="shared" si="28"/>
        <v>6.5435108270855664E-33</v>
      </c>
      <c r="X56">
        <f t="shared" si="28"/>
        <v>6.5435108270855664E-33</v>
      </c>
      <c r="Y56">
        <f t="shared" si="29"/>
        <v>0</v>
      </c>
      <c r="Z56">
        <f t="shared" si="29"/>
        <v>0</v>
      </c>
      <c r="AA56">
        <f t="shared" si="29"/>
        <v>0</v>
      </c>
      <c r="AB56">
        <f t="shared" si="29"/>
        <v>0</v>
      </c>
      <c r="AC56">
        <f t="shared" si="29"/>
        <v>0</v>
      </c>
      <c r="AD56">
        <f t="shared" si="29"/>
        <v>0</v>
      </c>
      <c r="AE56">
        <f t="shared" si="29"/>
        <v>0</v>
      </c>
      <c r="AF56">
        <f t="shared" si="29"/>
        <v>0</v>
      </c>
      <c r="AG56">
        <f t="shared" si="29"/>
        <v>0</v>
      </c>
      <c r="AH56">
        <f t="shared" si="29"/>
        <v>0</v>
      </c>
      <c r="AI56">
        <f t="shared" si="30"/>
        <v>0</v>
      </c>
      <c r="AJ56">
        <f t="shared" si="30"/>
        <v>0</v>
      </c>
      <c r="AK56">
        <f t="shared" si="30"/>
        <v>0</v>
      </c>
      <c r="AL56">
        <f t="shared" si="30"/>
        <v>0</v>
      </c>
      <c r="AM56">
        <f t="shared" si="30"/>
        <v>0</v>
      </c>
      <c r="AN56">
        <f t="shared" si="30"/>
        <v>0</v>
      </c>
      <c r="AO56">
        <f t="shared" si="30"/>
        <v>0</v>
      </c>
      <c r="AP56">
        <f t="shared" si="30"/>
        <v>0</v>
      </c>
      <c r="AQ56">
        <f t="shared" si="30"/>
        <v>0</v>
      </c>
      <c r="AR56">
        <f t="shared" si="30"/>
        <v>0</v>
      </c>
      <c r="AS56">
        <f t="shared" si="31"/>
        <v>0</v>
      </c>
      <c r="AT56">
        <f t="shared" si="31"/>
        <v>0</v>
      </c>
      <c r="AU56">
        <f t="shared" si="31"/>
        <v>0</v>
      </c>
      <c r="AV56">
        <f t="shared" si="31"/>
        <v>0</v>
      </c>
      <c r="AW56">
        <f t="shared" si="31"/>
        <v>0</v>
      </c>
      <c r="AX56">
        <f t="shared" si="31"/>
        <v>0</v>
      </c>
      <c r="AY56">
        <f t="shared" si="31"/>
        <v>0</v>
      </c>
      <c r="AZ56">
        <f t="shared" si="31"/>
        <v>0</v>
      </c>
      <c r="BA56">
        <f t="shared" si="31"/>
        <v>0</v>
      </c>
      <c r="BB56">
        <f t="shared" si="31"/>
        <v>0</v>
      </c>
    </row>
    <row r="57" spans="2:54">
      <c r="B57">
        <f t="shared" si="9"/>
        <v>47</v>
      </c>
      <c r="C57">
        <f t="shared" si="25"/>
        <v>3.9568822470617697E-34</v>
      </c>
      <c r="D57">
        <f t="shared" si="26"/>
        <v>3.9568822395204277E-34</v>
      </c>
      <c r="E57">
        <f t="shared" si="27"/>
        <v>3.9568822470618817E-34</v>
      </c>
      <c r="F57">
        <f t="shared" si="27"/>
        <v>3.9568822470618817E-34</v>
      </c>
      <c r="G57">
        <f t="shared" si="27"/>
        <v>3.9568822470618817E-34</v>
      </c>
      <c r="H57">
        <f t="shared" si="27"/>
        <v>3.9568822470618817E-34</v>
      </c>
      <c r="I57">
        <f t="shared" si="27"/>
        <v>3.9568822470618817E-34</v>
      </c>
      <c r="J57">
        <f t="shared" si="27"/>
        <v>3.9568822470618817E-34</v>
      </c>
      <c r="K57">
        <f t="shared" si="27"/>
        <v>3.9568822470618817E-34</v>
      </c>
      <c r="L57">
        <f t="shared" si="27"/>
        <v>3.9568822470618817E-34</v>
      </c>
      <c r="M57">
        <f t="shared" si="27"/>
        <v>3.9568822470618817E-34</v>
      </c>
      <c r="N57">
        <f t="shared" si="27"/>
        <v>3.9568822470618817E-34</v>
      </c>
      <c r="O57">
        <f t="shared" si="28"/>
        <v>3.9568822470618817E-34</v>
      </c>
      <c r="P57">
        <f t="shared" si="28"/>
        <v>3.9568822470618817E-34</v>
      </c>
      <c r="Q57">
        <f t="shared" si="28"/>
        <v>3.9568822470618817E-34</v>
      </c>
      <c r="R57">
        <f t="shared" si="28"/>
        <v>3.9568822470618817E-34</v>
      </c>
      <c r="S57">
        <f t="shared" si="28"/>
        <v>3.9568822470618817E-34</v>
      </c>
      <c r="T57">
        <f t="shared" si="28"/>
        <v>3.9568822470618817E-34</v>
      </c>
      <c r="U57">
        <f t="shared" si="28"/>
        <v>3.9568822470618817E-34</v>
      </c>
      <c r="V57">
        <f t="shared" si="28"/>
        <v>3.9568822470618817E-34</v>
      </c>
      <c r="W57">
        <f t="shared" si="28"/>
        <v>3.9568822470618817E-34</v>
      </c>
      <c r="X57">
        <f t="shared" si="28"/>
        <v>3.9568822470618817E-34</v>
      </c>
      <c r="Y57">
        <f t="shared" si="29"/>
        <v>0</v>
      </c>
      <c r="Z57">
        <f t="shared" si="29"/>
        <v>0</v>
      </c>
      <c r="AA57">
        <f t="shared" si="29"/>
        <v>0</v>
      </c>
      <c r="AB57">
        <f t="shared" si="29"/>
        <v>0</v>
      </c>
      <c r="AC57">
        <f t="shared" si="29"/>
        <v>0</v>
      </c>
      <c r="AD57">
        <f t="shared" si="29"/>
        <v>0</v>
      </c>
      <c r="AE57">
        <f t="shared" si="29"/>
        <v>0</v>
      </c>
      <c r="AF57">
        <f t="shared" si="29"/>
        <v>0</v>
      </c>
      <c r="AG57">
        <f t="shared" si="29"/>
        <v>0</v>
      </c>
      <c r="AH57">
        <f t="shared" si="29"/>
        <v>0</v>
      </c>
      <c r="AI57">
        <f t="shared" si="30"/>
        <v>0</v>
      </c>
      <c r="AJ57">
        <f t="shared" si="30"/>
        <v>0</v>
      </c>
      <c r="AK57">
        <f t="shared" si="30"/>
        <v>0</v>
      </c>
      <c r="AL57">
        <f t="shared" si="30"/>
        <v>0</v>
      </c>
      <c r="AM57">
        <f t="shared" si="30"/>
        <v>0</v>
      </c>
      <c r="AN57">
        <f t="shared" si="30"/>
        <v>0</v>
      </c>
      <c r="AO57">
        <f t="shared" si="30"/>
        <v>0</v>
      </c>
      <c r="AP57">
        <f t="shared" si="30"/>
        <v>0</v>
      </c>
      <c r="AQ57">
        <f t="shared" si="30"/>
        <v>0</v>
      </c>
      <c r="AR57">
        <f t="shared" si="30"/>
        <v>0</v>
      </c>
      <c r="AS57">
        <f t="shared" si="31"/>
        <v>0</v>
      </c>
      <c r="AT57">
        <f t="shared" si="31"/>
        <v>0</v>
      </c>
      <c r="AU57">
        <f t="shared" si="31"/>
        <v>0</v>
      </c>
      <c r="AV57">
        <f t="shared" si="31"/>
        <v>0</v>
      </c>
      <c r="AW57">
        <f t="shared" si="31"/>
        <v>0</v>
      </c>
      <c r="AX57">
        <f t="shared" si="31"/>
        <v>0</v>
      </c>
      <c r="AY57">
        <f t="shared" si="31"/>
        <v>0</v>
      </c>
      <c r="AZ57">
        <f t="shared" si="31"/>
        <v>0</v>
      </c>
      <c r="BA57">
        <f t="shared" si="31"/>
        <v>0</v>
      </c>
      <c r="BB57">
        <f t="shared" si="31"/>
        <v>0</v>
      </c>
    </row>
    <row r="58" spans="2:54">
      <c r="B58">
        <f t="shared" si="9"/>
        <v>48</v>
      </c>
      <c r="C58">
        <f t="shared" si="25"/>
        <v>2.2995039374372205E-35</v>
      </c>
      <c r="D58">
        <f t="shared" si="26"/>
        <v>2.2995039330546101E-35</v>
      </c>
      <c r="E58">
        <f t="shared" si="27"/>
        <v>2.2995039374372531E-35</v>
      </c>
      <c r="F58">
        <f t="shared" si="27"/>
        <v>2.2995039374372531E-35</v>
      </c>
      <c r="G58">
        <f t="shared" si="27"/>
        <v>2.2995039374372531E-35</v>
      </c>
      <c r="H58">
        <f t="shared" si="27"/>
        <v>2.2995039374372531E-35</v>
      </c>
      <c r="I58">
        <f t="shared" si="27"/>
        <v>2.2995039374372531E-35</v>
      </c>
      <c r="J58">
        <f t="shared" si="27"/>
        <v>2.2995039374372531E-35</v>
      </c>
      <c r="K58">
        <f t="shared" si="27"/>
        <v>2.2995039374372531E-35</v>
      </c>
      <c r="L58">
        <f t="shared" si="27"/>
        <v>2.2995039374372531E-35</v>
      </c>
      <c r="M58">
        <f t="shared" si="27"/>
        <v>2.2995039374372531E-35</v>
      </c>
      <c r="N58">
        <f t="shared" si="27"/>
        <v>2.2995039374372531E-35</v>
      </c>
      <c r="O58">
        <f t="shared" si="28"/>
        <v>2.2995039374372531E-35</v>
      </c>
      <c r="P58">
        <f t="shared" si="28"/>
        <v>2.2995039374372531E-35</v>
      </c>
      <c r="Q58">
        <f t="shared" si="28"/>
        <v>2.2995039374372531E-35</v>
      </c>
      <c r="R58">
        <f t="shared" si="28"/>
        <v>2.2995039374372531E-35</v>
      </c>
      <c r="S58">
        <f t="shared" si="28"/>
        <v>2.2995039374372531E-35</v>
      </c>
      <c r="T58">
        <f t="shared" si="28"/>
        <v>2.2995039374372531E-35</v>
      </c>
      <c r="U58">
        <f t="shared" si="28"/>
        <v>2.2995039374372531E-35</v>
      </c>
      <c r="V58">
        <f t="shared" si="28"/>
        <v>2.2995039374372531E-35</v>
      </c>
      <c r="W58">
        <f t="shared" si="28"/>
        <v>2.2995039374372531E-35</v>
      </c>
      <c r="X58">
        <f t="shared" si="28"/>
        <v>2.2995039374372531E-35</v>
      </c>
      <c r="Y58">
        <f t="shared" si="29"/>
        <v>0</v>
      </c>
      <c r="Z58">
        <f t="shared" si="29"/>
        <v>0</v>
      </c>
      <c r="AA58">
        <f t="shared" si="29"/>
        <v>0</v>
      </c>
      <c r="AB58">
        <f t="shared" si="29"/>
        <v>0</v>
      </c>
      <c r="AC58">
        <f t="shared" si="29"/>
        <v>0</v>
      </c>
      <c r="AD58">
        <f t="shared" si="29"/>
        <v>0</v>
      </c>
      <c r="AE58">
        <f t="shared" si="29"/>
        <v>0</v>
      </c>
      <c r="AF58">
        <f t="shared" si="29"/>
        <v>0</v>
      </c>
      <c r="AG58">
        <f t="shared" si="29"/>
        <v>0</v>
      </c>
      <c r="AH58">
        <f t="shared" si="29"/>
        <v>0</v>
      </c>
      <c r="AI58">
        <f t="shared" si="30"/>
        <v>0</v>
      </c>
      <c r="AJ58">
        <f t="shared" si="30"/>
        <v>0</v>
      </c>
      <c r="AK58">
        <f t="shared" si="30"/>
        <v>0</v>
      </c>
      <c r="AL58">
        <f t="shared" si="30"/>
        <v>0</v>
      </c>
      <c r="AM58">
        <f t="shared" si="30"/>
        <v>0</v>
      </c>
      <c r="AN58">
        <f t="shared" si="30"/>
        <v>0</v>
      </c>
      <c r="AO58">
        <f t="shared" si="30"/>
        <v>0</v>
      </c>
      <c r="AP58">
        <f t="shared" si="30"/>
        <v>0</v>
      </c>
      <c r="AQ58">
        <f t="shared" si="30"/>
        <v>0</v>
      </c>
      <c r="AR58">
        <f t="shared" si="30"/>
        <v>0</v>
      </c>
      <c r="AS58">
        <f t="shared" si="31"/>
        <v>0</v>
      </c>
      <c r="AT58">
        <f t="shared" si="31"/>
        <v>0</v>
      </c>
      <c r="AU58">
        <f t="shared" si="31"/>
        <v>0</v>
      </c>
      <c r="AV58">
        <f t="shared" si="31"/>
        <v>0</v>
      </c>
      <c r="AW58">
        <f t="shared" si="31"/>
        <v>0</v>
      </c>
      <c r="AX58">
        <f t="shared" si="31"/>
        <v>0</v>
      </c>
      <c r="AY58">
        <f t="shared" si="31"/>
        <v>0</v>
      </c>
      <c r="AZ58">
        <f t="shared" si="31"/>
        <v>0</v>
      </c>
      <c r="BA58">
        <f t="shared" si="31"/>
        <v>0</v>
      </c>
      <c r="BB58">
        <f t="shared" si="31"/>
        <v>0</v>
      </c>
    </row>
    <row r="59" spans="2:54">
      <c r="B59">
        <f t="shared" si="9"/>
        <v>49</v>
      </c>
      <c r="C59">
        <f t="shared" si="25"/>
        <v>1.2843631014686849E-36</v>
      </c>
      <c r="D59">
        <f t="shared" si="26"/>
        <v>1.2843630990208432E-36</v>
      </c>
      <c r="E59">
        <f t="shared" si="27"/>
        <v>1.2843631014687214E-36</v>
      </c>
      <c r="F59">
        <f t="shared" si="27"/>
        <v>1.2843631014687214E-36</v>
      </c>
      <c r="G59">
        <f t="shared" si="27"/>
        <v>1.2843631014687214E-36</v>
      </c>
      <c r="H59">
        <f t="shared" si="27"/>
        <v>1.2843631014687214E-36</v>
      </c>
      <c r="I59">
        <f t="shared" si="27"/>
        <v>1.2843631014687214E-36</v>
      </c>
      <c r="J59">
        <f t="shared" si="27"/>
        <v>1.2843631014687214E-36</v>
      </c>
      <c r="K59">
        <f t="shared" si="27"/>
        <v>1.2843631014687214E-36</v>
      </c>
      <c r="L59">
        <f t="shared" si="27"/>
        <v>1.2843631014687214E-36</v>
      </c>
      <c r="M59">
        <f t="shared" si="27"/>
        <v>1.2843631014687214E-36</v>
      </c>
      <c r="N59">
        <f t="shared" si="27"/>
        <v>1.2843631014687214E-36</v>
      </c>
      <c r="O59">
        <f t="shared" si="28"/>
        <v>1.2843631014687214E-36</v>
      </c>
      <c r="P59">
        <f t="shared" si="28"/>
        <v>1.2843631014687214E-36</v>
      </c>
      <c r="Q59">
        <f t="shared" si="28"/>
        <v>1.2843631014687214E-36</v>
      </c>
      <c r="R59">
        <f t="shared" si="28"/>
        <v>1.2843631014687214E-36</v>
      </c>
      <c r="S59">
        <f t="shared" si="28"/>
        <v>1.2843631014687214E-36</v>
      </c>
      <c r="T59">
        <f t="shared" si="28"/>
        <v>1.2843631014687214E-36</v>
      </c>
      <c r="U59">
        <f t="shared" si="28"/>
        <v>1.2843631014687214E-36</v>
      </c>
      <c r="V59">
        <f t="shared" si="28"/>
        <v>1.2843631014687214E-36</v>
      </c>
      <c r="W59">
        <f t="shared" si="28"/>
        <v>1.2843631014687214E-36</v>
      </c>
      <c r="X59">
        <f t="shared" si="28"/>
        <v>1.2843631014687214E-36</v>
      </c>
      <c r="Y59">
        <f t="shared" si="29"/>
        <v>0</v>
      </c>
      <c r="Z59">
        <f t="shared" si="29"/>
        <v>0</v>
      </c>
      <c r="AA59">
        <f t="shared" si="29"/>
        <v>0</v>
      </c>
      <c r="AB59">
        <f t="shared" si="29"/>
        <v>0</v>
      </c>
      <c r="AC59">
        <f t="shared" si="29"/>
        <v>0</v>
      </c>
      <c r="AD59">
        <f t="shared" si="29"/>
        <v>0</v>
      </c>
      <c r="AE59">
        <f t="shared" si="29"/>
        <v>0</v>
      </c>
      <c r="AF59">
        <f t="shared" si="29"/>
        <v>0</v>
      </c>
      <c r="AG59">
        <f t="shared" si="29"/>
        <v>0</v>
      </c>
      <c r="AH59">
        <f t="shared" si="29"/>
        <v>0</v>
      </c>
      <c r="AI59">
        <f t="shared" si="30"/>
        <v>0</v>
      </c>
      <c r="AJ59">
        <f t="shared" si="30"/>
        <v>0</v>
      </c>
      <c r="AK59">
        <f t="shared" si="30"/>
        <v>0</v>
      </c>
      <c r="AL59">
        <f t="shared" si="30"/>
        <v>0</v>
      </c>
      <c r="AM59">
        <f t="shared" si="30"/>
        <v>0</v>
      </c>
      <c r="AN59">
        <f t="shared" si="30"/>
        <v>0</v>
      </c>
      <c r="AO59">
        <f t="shared" si="30"/>
        <v>0</v>
      </c>
      <c r="AP59">
        <f t="shared" si="30"/>
        <v>0</v>
      </c>
      <c r="AQ59">
        <f t="shared" si="30"/>
        <v>0</v>
      </c>
      <c r="AR59">
        <f t="shared" si="30"/>
        <v>0</v>
      </c>
      <c r="AS59">
        <f t="shared" si="31"/>
        <v>0</v>
      </c>
      <c r="AT59">
        <f t="shared" si="31"/>
        <v>0</v>
      </c>
      <c r="AU59">
        <f t="shared" si="31"/>
        <v>0</v>
      </c>
      <c r="AV59">
        <f t="shared" si="31"/>
        <v>0</v>
      </c>
      <c r="AW59">
        <f t="shared" si="31"/>
        <v>0</v>
      </c>
      <c r="AX59">
        <f t="shared" si="31"/>
        <v>0</v>
      </c>
      <c r="AY59">
        <f t="shared" si="31"/>
        <v>0</v>
      </c>
      <c r="AZ59">
        <f t="shared" si="31"/>
        <v>0</v>
      </c>
      <c r="BA59">
        <f t="shared" si="31"/>
        <v>0</v>
      </c>
      <c r="BB59">
        <f t="shared" si="31"/>
        <v>0</v>
      </c>
    </row>
    <row r="60" spans="2:54">
      <c r="B60">
        <f t="shared" si="9"/>
        <v>50</v>
      </c>
      <c r="C60">
        <f t="shared" si="25"/>
        <v>6.8950019131477529E-38</v>
      </c>
      <c r="D60">
        <f t="shared" si="26"/>
        <v>6.8950019000066103E-38</v>
      </c>
      <c r="E60">
        <f t="shared" si="27"/>
        <v>6.89500191314785E-38</v>
      </c>
      <c r="F60">
        <f t="shared" si="27"/>
        <v>6.89500191314785E-38</v>
      </c>
      <c r="G60">
        <f t="shared" si="27"/>
        <v>6.89500191314785E-38</v>
      </c>
      <c r="H60">
        <f t="shared" si="27"/>
        <v>6.89500191314785E-38</v>
      </c>
      <c r="I60">
        <f t="shared" si="27"/>
        <v>6.89500191314785E-38</v>
      </c>
      <c r="J60">
        <f t="shared" si="27"/>
        <v>6.89500191314785E-38</v>
      </c>
      <c r="K60">
        <f t="shared" si="27"/>
        <v>6.89500191314785E-38</v>
      </c>
      <c r="L60">
        <f t="shared" si="27"/>
        <v>6.89500191314785E-38</v>
      </c>
      <c r="M60">
        <f t="shared" si="27"/>
        <v>6.89500191314785E-38</v>
      </c>
      <c r="N60">
        <f t="shared" si="27"/>
        <v>6.89500191314785E-38</v>
      </c>
      <c r="O60">
        <f t="shared" si="28"/>
        <v>6.89500191314785E-38</v>
      </c>
      <c r="P60">
        <f t="shared" si="28"/>
        <v>6.89500191314785E-38</v>
      </c>
      <c r="Q60">
        <f t="shared" si="28"/>
        <v>6.89500191314785E-38</v>
      </c>
      <c r="R60">
        <f t="shared" si="28"/>
        <v>6.89500191314785E-38</v>
      </c>
      <c r="S60">
        <f t="shared" si="28"/>
        <v>6.89500191314785E-38</v>
      </c>
      <c r="T60">
        <f t="shared" si="28"/>
        <v>6.89500191314785E-38</v>
      </c>
      <c r="U60">
        <f t="shared" si="28"/>
        <v>6.89500191314785E-38</v>
      </c>
      <c r="V60">
        <f t="shared" si="28"/>
        <v>6.89500191314785E-38</v>
      </c>
      <c r="W60">
        <f t="shared" si="28"/>
        <v>6.89500191314785E-38</v>
      </c>
      <c r="X60">
        <f t="shared" si="28"/>
        <v>6.89500191314785E-38</v>
      </c>
      <c r="Y60">
        <f t="shared" si="29"/>
        <v>0</v>
      </c>
      <c r="Z60">
        <f t="shared" si="29"/>
        <v>0</v>
      </c>
      <c r="AA60">
        <f t="shared" si="29"/>
        <v>0</v>
      </c>
      <c r="AB60">
        <f t="shared" si="29"/>
        <v>0</v>
      </c>
      <c r="AC60">
        <f t="shared" si="29"/>
        <v>0</v>
      </c>
      <c r="AD60">
        <f t="shared" si="29"/>
        <v>0</v>
      </c>
      <c r="AE60">
        <f t="shared" si="29"/>
        <v>0</v>
      </c>
      <c r="AF60">
        <f t="shared" si="29"/>
        <v>0</v>
      </c>
      <c r="AG60">
        <f t="shared" si="29"/>
        <v>0</v>
      </c>
      <c r="AH60">
        <f t="shared" si="29"/>
        <v>0</v>
      </c>
      <c r="AI60">
        <f t="shared" si="30"/>
        <v>0</v>
      </c>
      <c r="AJ60">
        <f t="shared" si="30"/>
        <v>0</v>
      </c>
      <c r="AK60">
        <f t="shared" si="30"/>
        <v>0</v>
      </c>
      <c r="AL60">
        <f t="shared" si="30"/>
        <v>0</v>
      </c>
      <c r="AM60">
        <f t="shared" si="30"/>
        <v>0</v>
      </c>
      <c r="AN60">
        <f t="shared" si="30"/>
        <v>0</v>
      </c>
      <c r="AO60">
        <f t="shared" si="30"/>
        <v>0</v>
      </c>
      <c r="AP60">
        <f t="shared" si="30"/>
        <v>0</v>
      </c>
      <c r="AQ60">
        <f t="shared" si="30"/>
        <v>0</v>
      </c>
      <c r="AR60">
        <f t="shared" si="30"/>
        <v>0</v>
      </c>
      <c r="AS60">
        <f t="shared" si="31"/>
        <v>0</v>
      </c>
      <c r="AT60">
        <f t="shared" si="31"/>
        <v>0</v>
      </c>
      <c r="AU60">
        <f t="shared" si="31"/>
        <v>0</v>
      </c>
      <c r="AV60">
        <f t="shared" si="31"/>
        <v>0</v>
      </c>
      <c r="AW60">
        <f t="shared" si="31"/>
        <v>0</v>
      </c>
      <c r="AX60">
        <f t="shared" si="31"/>
        <v>0</v>
      </c>
      <c r="AY60">
        <f t="shared" si="31"/>
        <v>0</v>
      </c>
      <c r="AZ60">
        <f t="shared" si="31"/>
        <v>0</v>
      </c>
      <c r="BA60">
        <f t="shared" si="31"/>
        <v>0</v>
      </c>
      <c r="BB60">
        <f t="shared" si="31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Binomial</vt:lpstr>
      <vt:lpstr>PD</vt:lpstr>
      <vt:lpstr>QuadraturePoints</vt:lpstr>
      <vt:lpstr>Rho</vt:lpstr>
      <vt:lpstr>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2018-12-22T19:15:49Z</dcterms:created>
  <dcterms:modified xsi:type="dcterms:W3CDTF">2024-02-23T15:02:29Z</dcterms:modified>
</cp:coreProperties>
</file>